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b8dfb501c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" sheetId="1" r:id="R4ab1cea01c944544"/>
    <x:sheet xmlns:r="http://schemas.openxmlformats.org/officeDocument/2006/relationships" name="RQ2 - Sol" sheetId="2" r:id="R182e557f549a4ba0"/>
    <x:sheet xmlns:r="http://schemas.openxmlformats.org/officeDocument/2006/relationships" name="RQ2 - Terra" sheetId="3" r:id="R91268f565c9246f5"/>
    <x:sheet xmlns:r="http://schemas.openxmlformats.org/officeDocument/2006/relationships" name="RQ2 - Luna" sheetId="4" r:id="R18724e900ba34eb6"/>
    <x:sheet xmlns:r="http://schemas.openxmlformats.org/officeDocument/2006/relationships" name="RQ3 - Prompt EF off" sheetId="5" r:id="R0338077cd9af453d"/>
    <x:sheet xmlns:r="http://schemas.openxmlformats.org/officeDocument/2006/relationships" name="RQ3 - Sub-prompt off" sheetId="6" r:id="Re65578a92aa541ca"/>
    <x:sheet xmlns:r="http://schemas.openxmlformats.org/officeDocument/2006/relationships" name="RQ3 - Both off" sheetId="7" r:id="R50bc91ecc11741a1"/>
    <x:sheet xmlns:r="http://schemas.openxmlformats.org/officeDocument/2006/relationships" name="New" sheetId="8" r:id="R76f7023317a14ed0"/>
  </x:sheets>
</x:workbook>
</file>

<file path=xl/sharedStrings.xml><?xml version="1.0" encoding="utf-8"?>
<x:sst xmlns:x="http://schemas.openxmlformats.org/spreadsheetml/2006/main">
  <x:si>
    <x:t xml:space="preserve">VIBE TESTING - CODING GENERATION EXPERIMENT TABLE</x:t>
  </x:si>
  <x:si>
    <x:r>
      <x:rPr>
        <x:rFont val="Arial"/>
      </x:rPr>
      <x:t xml:space="preserve">1. Environment
- Supporting tools: ChatGPT 5.6 Sol (High) to generate coding prompts; Codex 5.6 Sol (Medium) to generate code
- Target codebase:
+ FE: React + TypeScript + Zustand + Tailwind CSS
+ BE: NestJS + JWT + Passport + RestAPI/GraphQL (HTTPS) (Controller --&gt; Service --&gt; Repository architecture)
+ DB: MySQL (query via TypeORM)
2. Input data
- Use case specification (added modeled Business rules): [VibeTesting] Financial_Management_Specification
- API specification: [VibeTesting] Financial_Management_Specification
- UI/Figma: https://www.figma.com/design/2fkzdzP0fmq9is98TrZpyd/Finebank---Financial-Management-Dashboard-UI-Kits--Community---Copy-?node-id=66-4728&amp;p=f&amp;t=cxoXDlHwuOBmZeW8-0
- UI/Figma (updated): </x:t>
    </x:r>
    <x:r>
      <x:rPr>
        <x:u val="single"/>
        <x:color rgb="FF1155CC"/>
        <x:rFont val="Arial"/>
      </x:rPr>
      <x:t xml:space="preserve">https://www.figma.com/design/BTSOvEnU2X3CNrNvSxX9Ry/Finebank---Financial-Management-Dashboard-UI-Kits--Community---VibeTesting-?node-id=66-4728&amp;p=f&amp;t=LTofk7XE4yZcHPBU-0</x:t>
    </x:r>
    <x:r>
      <x:rPr>
        <x:rFont val="Arial"/>
      </x:rPr>
      <x:t xml:space="preserve">
3. Grouping of initial prompts
- Prompt A: Backend API Service - NestJS Service/Controller, business logic and server errors.
- Prompt B: Frontend UI according to Figma.
- Prompt C: Frontend state and API connection.
- Prompt D: Client-side validation, loading and error handling.
4. Links
- GitHub: </x:t>
    </x:r>
    <x:r>
      <x:rPr>
        <x:u val="single"/>
        <x:color rgb="FF1155CC"/>
        <x:rFont val="Arial"/>
      </x:rPr>
      <x:t xml:space="preserve">https://github.com/tudzct/vt-financial</x:t>
    </x:r>
    <x:r>
      <x:rPr>
        <x:rFont val="Arial"/>
      </x:rPr>
      <x:t xml:space="preserve">
+ Original codebase (origin/codebase): running on port 8000 for BE, 3000 for FE, 3306 for DB.
+ Development versions (other branches): running on port 8001 for BE, 3001 for FE, 3307 for DB.</x:t>
    </x:r>
  </x:si>
  <x:si>
    <x:t xml:space="preserve">ID</x:t>
  </x:si>
  <x:si>
    <x:t xml:space="preserve">Use Case Name</x:t>
  </x:si>
  <x:si>
    <x:t xml:space="preserve">Number of Business Requirements</x:t>
  </x:si>
  <x:si>
    <x:t xml:space="preserve">Correct Business Requirements (First Gen)</x:t>
  </x:si>
  <x:si>
    <x:t xml:space="preserve">Incorrect Business Requirements (First Gen)</x:t>
  </x:si>
  <x:si>
    <x:t xml:space="preserve">Coding Prompt Generation Time (in second)</x:t>
  </x:si>
  <x:si>
    <x:t xml:space="preserve">First Code Generation Time (RQ4) (in second)</x:t>
  </x:si>
  <x:si>
    <x:t xml:space="preserve">Number of Sub-prompts for Correction</x:t>
  </x:si>
  <x:si>
    <x:t xml:space="preserve">Sub-prompt Execution Time (RQ4) (in second)</x:t>
  </x:si>
  <x:si>
    <x:t xml:space="preserve">Manual Coding Time Estimate (3 Experts) (in hour)</x:t>
  </x:si>
  <x:si>
    <x:t xml:space="preserve">Tokens Used for Coding Prompt Gen</x:t>
  </x:si>
  <x:si>
    <x:t xml:space="preserve">Tokens Used for First Gen (RQ4)</x:t>
  </x:si>
  <x:si>
    <x:t xml:space="preserve">Total Tokens for Sub-prompts (RQ4)</x:t>
  </x:si>
  <x:si>
    <x:t xml:space="preserve">Total Tokens for Entire UC (RQ4)</x:t>
  </x:si>
  <x:si>
    <x:t xml:space="preserve">UI Accuracy</x:t>
  </x:si>
  <x:si>
    <x:t xml:space="preserve">Operational Flow Accuracy</x:t>
  </x:si>
  <x:si>
    <x:t xml:space="preserve">UC Complexity</x:t>
  </x:si>
  <x:si>
    <x:t xml:space="preserve">Notes</x:t>
  </x:si>
  <x:si>
    <x:t xml:space="preserve">Tu</x:t>
  </x:si>
  <x:si>
    <x:t xml:space="preserve">Kien</x:t>
  </x:si>
  <x:si>
    <x:t xml:space="preserve">Khanh</x:t>
  </x:si>
  <x:si>
    <x:t xml:space="preserve">UC-01</x:t>
  </x:si>
  <x:si>
    <x:t xml:space="preserve">Register an account</x:t>
  </x:si>
  <x:si>
    <x:t xml:space="preserve">Easy</x:t>
  </x:si>
  <x:si>
    <x:t xml:space="preserve">UC-02</x:t>
  </x:si>
  <x:si>
    <x:t xml:space="preserve">Log in</x:t>
  </x:si>
  <x:si>
    <x:t xml:space="preserve">100 %</x:t>
  </x:si>
  <x:si>
    <x:t xml:space="preserve">100 % </x:t>
  </x:si>
  <x:si>
    <x:t xml:space="preserve">UC-03</x:t>
  </x:si>
  <x:si>
    <x:t xml:space="preserve">View transaction history</x:t>
  </x:si>
  <x:si>
    <x:t xml:space="preserve">UC-04</x:t>
  </x:si>
  <x:si>
    <x:t xml:space="preserve">Create a transaction</x:t>
  </x:si>
  <x:si>
    <x:t xml:space="preserve">UC-05</x:t>
  </x:si>
  <x:si>
    <x:t xml:space="preserve">View bank accounts</x:t>
  </x:si>
  <x:si>
    <x:t xml:space="preserve">CodingPrompt: 3m24s - 2%
BugFix Prompt-1: 3m33s - 2%
UI: The search, notification icons, the font weight of the account type, the width of the account cards, the unit do not match the Figma design.</x:t>
  </x:si>
  <x:si>
    <x:t xml:space="preserve">UC-06</x:t>
  </x:si>
  <x:si>
    <x:t xml:space="preserve">Add a bank account</x:t>
  </x:si>
  <x:si>
    <x:t xml:space="preserve">CodingPrompt: 3m47s - 1%
UI: Search icon doesn't match the Figma design</x:t>
  </x:si>
  <x:si>
    <x:t xml:space="preserve">UC-07</x:t>
  </x:si>
  <x:si>
    <x:t xml:space="preserve">View bank account details</x:t>
  </x:si>
  <x:si>
    <x:t xml:space="preserve">CodingPrompt: 3m2s - ~1%
UI: Date format doesn't match the Figma design</x:t>
  </x:si>
  <x:si>
    <x:t xml:space="preserve">UC-08</x:t>
  </x:si>
  <x:si>
    <x:t xml:space="preserve">Edit a bank account</x:t>
  </x:si>
  <x:si>
    <x:t xml:space="preserve">CodingPrompt: 2m57s - 1%
UI: Redundancy Alert in the Validation Input Field</x:t>
  </x:si>
  <x:si>
    <x:t xml:space="preserve">UC-08.1</x:t>
  </x:si>
  <x:si>
    <x:t xml:space="preserve">Quick Edit Account</x:t>
  </x:si>
  <x:si>
    <x:t xml:space="preserve">CodingPrompt: 2m54s - 609012
UI: </x:t>
  </x:si>
  <x:si>
    <x:t xml:space="preserve">UC-09</x:t>
  </x:si>
  <x:si>
    <x:t xml:space="preserve">Delete a bank account</x:t>
  </x:si>
  <x:si>
    <x:t xml:space="preserve">CodingPrompt: 4m4s - 2%
BugFix Prompt-1: 3m3s - 1%
UI: The color of the signal icon doesn't match the Figma design</x:t>
  </x:si>
  <x:si>
    <x:t xml:space="preserve">UC-10</x:t>
  </x:si>
  <x:si>
    <x:t xml:space="preserve">View monthly expense summary</x:t>
  </x:si>
  <x:si>
    <x:t xml:space="preserve">1% for phase 1; 4% for phase 2; missing icons</x:t>
  </x:si>
  <x:si>
    <x:t xml:space="preserve">UC-11</x:t>
  </x:si>
  <x:si>
    <x:t xml:space="preserve">View expense by category</x:t>
  </x:si>
  <x:si>
    <x:t xml:space="preserve">Medium</x:t>
  </x:si>
  <x:si>
    <x:t xml:space="preserve">2% for phase 1; (5+3)% for phase 2; missing icons</x:t>
  </x:si>
  <x:si>
    <x:t xml:space="preserve">UC-12</x:t>
  </x:si>
  <x:si>
    <x:t xml:space="preserve">View upcoming bills</x:t>
  </x:si>
  <x:si>
    <x:t xml:space="preserve">1% for phase 1; 6% for phase 2; logos???</x:t>
  </x:si>
  <x:si>
    <x:t xml:space="preserve">UC-13</x:t>
  </x:si>
  <x:si>
    <x:t xml:space="preserve">View financial goals</x:t>
  </x:si>
  <x:si>
    <x:t xml:space="preserve">3% for phase 1; 3% for phase 2</x:t>
  </x:si>
  <x:si>
    <x:t xml:space="preserve">UC-14</x:t>
  </x:si>
  <x:si>
    <x:t xml:space="preserve">Create a financial goal</x:t>
  </x:si>
  <x:si>
    <x:t xml:space="preserve">2% for phase 1; 4% for phase 2</x:t>
  </x:si>
  <x:si>
    <x:t xml:space="preserve">UC-15</x:t>
  </x:si>
  <x:si>
    <x:t xml:space="preserve">Adjust a financial goal</x:t>
  </x:si>
  <x:si>
    <x:t xml:space="preserve">4% for phase 2</x:t>
  </x:si>
  <x:si>
    <x:t xml:space="preserve">UC-16</x:t>
  </x:si>
  <x:si>
    <x:t xml:space="preserve">View savings summary</x:t>
  </x:si>
  <x:si>
    <x:t xml:space="preserve">3% for phase 1; (2+1)% for phase 2</x:t>
  </x:si>
  <x:si>
    <x:r>
      <x:rPr>
        <x:rFont val="Arial"/>
      </x:rPr>
      <x:t xml:space="preserve">1. Environment
- Supporting tools: ChatGPT 5.6 Sol (High) to generate coding prompts; Codex 5.6 Sol (Medium) to generate code
- Target codebase:
+ FE: React + TypeScript + Zustand + Tailwind CSS
+ BE: NestJS + JWT + Passport + RestAPI/GraphQL (HTTPS) (Controller --&gt; Service --&gt; Repository architecture)
+ DB: MySQL (query via TypeORM)
2. Input data
- Use case specification (added modeled Business rules): [VibeTesting] Financial_Management_Specification
- API specification: [VibeTesting] Financial_Management_Specification
- UI/Figma: https://www.figma.com/design/2fkzdzP0fmq9is98TrZpyd/Finebank---Financial-Management-Dashboard-UI-Kits--Community---Copy-?node-id=66-4728&amp;p=f&amp;t=cxoXDlHwuOBmZeW8-0
- UI/Figma (updated): </x:t>
    </x:r>
    <x:r>
      <x:rPr>
        <x:u val="single"/>
        <x:color rgb="FF1155CC"/>
        <x:rFont val="Arial"/>
      </x:rPr>
      <x:t xml:space="preserve">https://www.figma.com/design/BTSOvEnU2X3CNrNvSxX9Ry/Finebank---Financial-Management-Dashboard-UI-Kits--Community---VibeTesting-?node-id=66-4728&amp;p=f&amp;t=LTofk7XE4yZcHPBU-0</x:t>
    </x:r>
    <x:r>
      <x:rPr>
        <x:rFont val="Arial"/>
      </x:rPr>
      <x:t xml:space="preserve">
3. Grouping of initial prompts
- Prompt A: Backend API Service — NestJS Service/Controller, business logic and server errors.
- Prompt B: Frontend UI according to Figma.
- Prompt C: Frontend state and API connection.
- Prompt D: Client-side validation, loading and error handling.
4. Links
- GitHub: </x:t>
    </x:r>
    <x:r>
      <x:rPr>
        <x:u val="single"/>
        <x:color rgb="FF1155CC"/>
        <x:rFont val="Arial"/>
      </x:rPr>
      <x:t xml:space="preserve">https://github.com/tudzct/vt-financial</x:t>
    </x:r>
    <x:r>
      <x:rPr>
        <x:rFont val="Arial"/>
      </x:rPr>
      <x:t xml:space="preserve">
+ Original codebase (origin/codebase): running on port 8000 for BE, 3000 for FE, 3306 for DB.
+ Development versions (other branches): running on port 8001 for BE, 3001 for FE, 3307 for DB.</x:t>
    </x:r>
  </x:si>
  <x:si>
    <x:r>
      <x:rPr>
        <x:rFont val="Arial"/>
      </x:rPr>
      <x:t xml:space="preserve">1. Environment
- Supporting tools: ChatGPT 5.6 Terra (High) to generate coding prompts; Codex 5.6 Terra (High) to generate code
- Target codebase:
+ FE: React + TypeScript + Zustand + Tailwind CSS
+ BE: NestJS + JWT + Passport + RestAPI/GraphQL (HTTPS) (Controller --&gt; Service --&gt; Repository architecture)
+ DB: MySQL (query via TypeORM)
2. Input data
- Use case specification (added modeled Business rules): [VibeTesting] Financial_Management_Specification
- API specification: [VibeTesting] Financial_Management_Specification
- UI/Figma: https://www.figma.com/design/2fkzdzP0fmq9is98TrZpyd/Finebank---Financial-Management-Dashboard-UI-Kits--Community---Copy-?node-id=66-4728&amp;p=f&amp;t=cxoXDlHwuOBmZeW8-0
- UI/Figma (updated): </x:t>
    </x:r>
    <x:r>
      <x:rPr>
        <x:u val="single"/>
        <x:color rgb="FF1155CC"/>
        <x:rFont val="Arial"/>
      </x:rPr>
      <x:t xml:space="preserve">https://www.figma.com/design/BTSOvEnU2X3CNrNvSxX9Ry/Finebank---Financial-Management-Dashboard-UI-Kits--Community---VibeTesting-?node-id=66-4728&amp;p=f&amp;t=LTofk7XE4yZcHPBU-0</x:t>
    </x:r>
    <x:r>
      <x:rPr>
        <x:rFont val="Arial"/>
      </x:rPr>
      <x:t xml:space="preserve">
3. Grouping of initial prompts
- Prompt A: Backend API Service — NestJS Service/Controller, business logic and server errors.
- Prompt B: Frontend UI according to Figma.
- Prompt C: Frontend state and API connection.
- Prompt D: Client-side validation, loading and error handling.
4. Links
- GitHub: </x:t>
    </x:r>
    <x:r>
      <x:rPr>
        <x:u val="single"/>
        <x:color rgb="FF1155CC"/>
        <x:rFont val="Arial"/>
      </x:rPr>
      <x:t xml:space="preserve">https://github.com/tudzct/vt-financial-terra</x:t>
    </x:r>
  </x:si>
  <x:si>
    <x:t xml:space="preserve">85.7%</x:t>
  </x:si>
  <x:si>
    <x:t xml:space="preserve">UI: Màu nền của figma là trắng trong khi llm code màu đen; kích thước bảng và bố cục của trang của khác với đặc tả figma
Backend: Người dùng không xem được lịch sử thanh toán(luồng chính) trong lần sinh code đầu tiên </x:t>
  </x:si>
  <x:si>
    <x:t xml:space="preserve">Backend: Chưa đăng ký route cho ca sử dụng dẫn đến frontend không gọi được backend trong lần sinh đầu tiên</x:t>
  </x:si>
  <x:si>
    <x:t xml:space="preserve">Coding-Prompt:2m50s-793381</x:t>
  </x:si>
  <x:si>
    <x:t xml:space="preserve">UI: Màu nền của figma là trắng trong khi llm code màu đen; kích thước bảng và bố cục của trang của khác với đặc tả figma
Backend: Lỗi tích hợp api cho frontend và backend</x:t>
  </x:si>
  <x:si>
    <x:r>
      <x:rPr>
        <x:rFont val="Arial"/>
      </x:rPr>
      <x:t xml:space="preserve">1. Environment
- Supporting tools: ChatGPT 5.6 Luna (High) to generate coding prompts and generate source code.
- Target codebase:
+ FE: React + TypeScript + Zustand + Tailwind CSS
+ BE: NestJS + JWT + Passport + RestAPI/GraphQL (HTTPS) (Controller --&gt; Service --&gt; Repository architecture)
+ DB: MySQL (query via TypeORM)
2. Input data
- Use case specification (added modeled Business rules): [VibeTesting] Financial_Management_Specification
- API specification: [VibeTesting] Financial_Management_Specification
- UI/Figma: https://www.figma.com/design/2fkzdzP0fmq9is98TrZpyd/Finebank---Financial-Management-Dashboard-UI-Kits--Community---Copy-?node-id=66-4728&amp;p=f&amp;t=cxoXDlHwuOBmZeW8-0
- UI/Figma (updated): </x:t>
    </x:r>
    <x:r>
      <x:rPr>
        <x:u val="single"/>
        <x:color rgb="FF1155CC"/>
        <x:rFont val="Arial"/>
      </x:rPr>
      <x:t xml:space="preserve">https://www.figma.com/design/BTSOvEnU2X3CNrNvSxX9Ry/Finebank---Financial-Management-Dashboard-UI-Kits--Community---VibeTesting-?node-id=66-4728&amp;p=f&amp;t=LTofk7XE4yZcHPBU-0</x:t>
    </x:r>
    <x:r>
      <x:rPr>
        <x:rFont val="Arial"/>
      </x:rPr>
      <x:t xml:space="preserve">
3. Grouping of initial prompts
- Prompt A: Backend API Service — NestJS Service/Controller, business logic and server errors.
- Prompt B: Frontend UI according to Figma.
- Prompt C: Frontend state and API connection.
- Prompt D: Client-side validation, loading and error handling.
4. Links
- GitHub: </x:t>
    </x:r>
    <x:r>
      <x:rPr>
        <x:u val="single"/>
        <x:color rgb="FF1155CC"/>
        <x:rFont val="Arial"/>
      </x:rPr>
      <x:t xml:space="preserve">https://github.com/Kein24020187/Financial-Management-Luna</x:t>
    </x:r>
  </x:si>
  <x:si>
    <x:t xml:space="preserve">N/A</x:t>
  </x:si>
  <x:si>
    <x:t xml:space="preserve">UI 60%; Flow 13/13 = 100%. run_status=complete; first-gen BR 11/11 met. .codex telemetry: first-gen 100.652s / 1,098,602 tokens; repairs 1,776.571s / 16,794,301 tokens; total 17,892,903 tokens.</x:t>
  </x:si>
  <x:si>
    <x:t xml:space="preserve">UI 60%; Flow implementation 13/13 = 100%. Runtime evidence covers 9/13 checkpoints; the remaining 4 success-session/response/redirect and network-failure checkpoints are not_evaluable at runtime, not unmet. run_status=blocked; final BR 6/6 met. .codex telemetry: first-gen 1,174.669s / 13,418,459 tokens; repairs 1,393.598s / 11,075,218 tokens; total 24,493,677 tokens.</x:t>
  </x:si>
  <x:si>
    <x:t xml:space="preserve">UI 100%; Flow implementation 13/13 = 100%. Runtime evidence covers 10/13 checkpoints; empty-state, invalid-query and service-failure checkpoints are not_evaluable at runtime, not unmet. run_status=blocked; first-gen 6 met and 1 not_evaluable; final 7/7 met after 1 repair. .codex telemetry: first-gen 1,227.034s / 7,868,711 tokens; repair 448.051s / 4,321,370 tokens; total 12,190,081 tokens.</x:t>
  </x:si>
  <x:si>
    <x:t xml:space="preserve">UI 100%; Flow 19/19 = 100%. run_status=complete; first-gen/final BR 8/8 met. .codex telemetry: first-gen 1,073.302s / 10,372,266 tokens; no correction sub-prompts; total 10,372,266 tokens.</x:t>
  </x:si>
  <x:si>
    <x:t xml:space="preserve">Hard</x:t>
  </x:si>
  <x:si>
    <x:t xml:space="preserve">UI 100%; Flow 13/13 = 100%. run_status=complete; first-gen/final BR 9/9 met; all 8 basic, 3 alternative and 2 exception flows were assessed. .codex telemetry: first-gen 837.311s / 5,534,117 tokens; repair 273.540s / 1,097,425 tokens; total 6,631,542 tokens.</x:t>
  </x:si>
  <x:si>
    <x:r>
      <x:rPr>
        <x:rFont val="Arial"/>
      </x:rPr>
      <x:t xml:space="preserve">1. Environment
- Supporting tools: ChatGPT 5.6 Sol (High) to generate coding prompts; Codex 5.6 Sol (Medium) to generate code
- Target codebase:
+ FE: React + TypeScript + Zustand + Tailwind CSS
+ BE: NestJS + JWT + Passport + RestAPI/GraphQL (HTTPS) (Controller --&gt; Service --&gt; Repository architecture)
+ DB: MySQL (query via TypeORM)
2. Input data
- Use case specification (added modeled Business rules): [VibeTesting] Financial_Management_Specification
- API specification: [VibeTesting] Financial_Management_Specification
- UI/Figma: https://www.figma.com/design/2fkzdzP0fmq9is98TrZpyd/Finebank---Financial-Management-Dashboard-UI-Kits--Community---Copy-?node-id=66-4728&amp;p=f&amp;t=cxoXDlHwuOBmZeW8-0
- UI/Figma (updated): </x:t>
    </x:r>
    <x:r>
      <x:rPr>
        <x:u val="single"/>
        <x:color rgb="FF1155CC"/>
        <x:rFont val="Arial"/>
      </x:rPr>
      <x:t xml:space="preserve">https://www.figma.com/design/BTSOvEnU2X3CNrNvSxX9Ry/Finebank---Financial-Management-Dashboard-UI-Kits--Community---VibeTesting-?node-id=66-4728&amp;p=f&amp;t=LTofk7XE4yZcHPBU-0</x:t>
    </x:r>
    <x:r>
      <x:rPr>
        <x:rFont val="Arial"/>
      </x:rPr>
      <x:t xml:space="preserve">
3. Grouping of initial prompts
- Prompt A: Backend API Service — NestJS Service/Controller, business logic and server errors.
- Prompt B: Frontend UI according to Figma.
- Prompt C: Frontend state and API connection.
- Prompt D: Client-side validation, loading and error handling.
4. Links
- GitHub: </x:t>
    </x:r>
    <x:r>
      <x:rPr>
        <x:u val="single"/>
        <x:color rgb="FF1155CC"/>
        <x:rFont val="Arial"/>
      </x:rPr>
      <x:t xml:space="preserve">https://github.com/tudzct/vt-financial</x:t>
    </x:r>
    <x:r>
      <x:rPr>
        <x:rFont val="Arial"/>
      </x:rPr>
      <x:t xml:space="preserve">
+ Original codebase (origin/codebase): running on port 8000 for BE, 3000 for FE, 3306 for DB.
+ Development versions (origin/experiment/codegen): running on port 8001 for BE, 3001 for FE, 3307 for DB.</x:t>
    </x:r>
  </x:si>
  <x:si>
    <x:t xml:space="preserve">78.9</x:t>
  </x:si>
  <x:si>
    <x:t xml:space="preserve">UI 1st gen: 60%; missing icons</x:t>
  </x:si>
  <x:si>
    <x:t xml:space="preserve">CodingPrompt: 3m23s- 1068041
UI: Xấu</x:t>
  </x:si>
  <x:si>
    <x:t xml:space="preserve">286.42</x:t>
  </x:si>
  <x:si>
    <x:t xml:space="preserve">CodingPrompt: 2m30s - 829863
UI:</x:t>
  </x:si>
  <x:si>
    <x:t xml:space="preserve">654.78</x:t>
  </x:si>
  <x:si>
    <x:t xml:space="preserve">58.82%</x:t>
  </x:si>
  <x:si>
    <x:t xml:space="preserve">806.97</x:t>
  </x:si>
  <x:si>
    <x:t xml:space="preserve">85.71%</x:t>
  </x:si>
  <x:si>
    <x:t xml:space="preserve">269.56</x:t>
  </x:si>
  <x:si>
    <x:t xml:space="preserve">133.78</x:t>
  </x:si>
  <x:si>
    <x:t xml:space="preserve">94.44%</x:t>
  </x:si>
  <x:si>
    <x:t xml:space="preserve">Coding Prompt Tokens: 1265961
Coding Prompt Durations: 369</x:t>
  </x:si>
  <x:si>
    <x:t xml:space="preserve">UC-08a</x:t>
  </x:si>
  <x:si>
    <x:t xml:space="preserve">98.33</x:t>
  </x:si>
  <x:si>
    <x:t xml:space="preserve">91.3%</x:t>
  </x:si>
  <x:si>
    <x:t xml:space="preserve">Coding Prompt Tokens: 1554991
Coding Prompt Durations: 424.852</x:t>
  </x:si>
  <x:si>
    <x:t xml:space="preserve">Coding Prompt Tokens: 1478267
Coding Prompt Durations: 125.22</x:t>
  </x:si>
  <x:si>
    <x:t xml:space="preserve">Run UC02-SOL-MEDIUM-R1 (RQ3 Sub-prompt off): First gen 0/6 BR met. First gen tokens: 8.454.806. Sub-prompts: 0.</x:t>
  </x:si>
  <x:si>
    <x:t xml:space="preserve">Run RQ3-SOL-MEDIUM-R1-UC01 complete: first pass 5/11 BR met; final 11/11 BR met after 7 bounded repairs. Runtime passed: page/proxy 200, registration 201, duplicate 409, invalid input 400. UI and operational-flow percentages are not evaluable because no browser instance was available; structural Figma coverage and source/runtime flow evidence were retained. Repairs 002–007 share one Codex turn, so per-repair token attribution is unavailable.</x:t>
  </x:si>
  <x:si>
    <x:t xml:space="preserve">Run UC02-SOL-MEDIUM-R1 complete: final 6/6 BR met after 2 bounded repairs. Token telemetry unavailable. UI accuracy is structural source mapping; deterministic browser/pixel comparison was unavailable.</x:t>
  </x:si>
  <x:si>
    <x:t xml:space="preserve">UI: Miss Add Transaction Button</x:t>
  </x:si>
  <x:si>
    <x:t xml:space="preserve">87.5%</x:t>
  </x:si>
  <x:si>
    <x:t xml:space="preserve">The goal list doesn't updated when the user add a new goal</x:t>
  </x:si>
  <x:si>
    <x:t xml:space="preserve">Adjust goal button is disabled</x:t>
  </x:si>
  <x:si>
    <x:t xml:space="preserve">178.406s</x:t>
  </x:si>
  <x:si>
    <x:t xml:space="preserve">The app doesn't display the right saving summary stored in the database</x:t>
  </x:si>
  <x:si>
    <x:t xml:space="preserve">Coding Prompt </x:t>
  </x:si>
  <x:si>
    <x:t xml:space="preserve">First Gen Source Code</x:t>
  </x:si>
  <x:si>
    <x:t xml:space="preserve">Repair</x:t>
  </x:si>
  <x:si>
    <x:t xml:space="preserve">Total 3 phases</x:t>
  </x:si>
  <x:si>
    <x:t xml:space="preserve">Work follow</x:t>
  </x:si>
  <x:si>
    <x:t xml:space="preserve">First Generation</x:t>
  </x:si>
  <x:si>
    <x:t xml:space="preserve">After Fixing</x:t>
  </x:si>
  <x:si>
    <x:t xml:space="preserve">Figma UI Match Ratio (%)</x:t>
  </x:si>
  <x:si>
    <x:t xml:space="preserve">Cached Input Tokens</x:t>
  </x:si>
  <x:si>
    <x:t xml:space="preserve">Input Tokens</x:t>
  </x:si>
  <x:si>
    <x:t xml:space="preserve">Output Tokens</x:t>
  </x:si>
  <x:si>
    <x:t xml:space="preserve">Total Tokens</x:t>
  </x:si>
  <x:si>
    <x:t xml:space="preserve">DurationTime (in second)</x:t>
  </x:si>
  <x:si>
    <x:t xml:space="preserve">Wall Clock Time(in second)</x:t>
  </x:si>
  <x:si>
    <x:t xml:space="preserve">Workflow Turns</x:t>
  </x:si>
  <x:si>
    <x:t xml:space="preserve">Tool Calls</x:t>
  </x:si>
  <x:si>
    <x:t xml:space="preserve">Correct Business Requirements </x:t>
  </x:si>
  <x:si>
    <x:t xml:space="preserve">Incorrect Business Requirements </x:t>
  </x:si>
  <x:si>
    <x:t xml:space="preserve">Flow Accuracy (%) </x:t>
  </x:si>
</x:sst>
</file>

<file path=xl/styles.xml><?xml version="1.0" encoding="utf-8"?>
<x:styleSheet xmlns:x="http://schemas.openxmlformats.org/spreadsheetml/2006/main">
  <x:numFmts count="2">
    <x:numFmt numFmtId="164" formatCode="d.m"/>
    <x:numFmt numFmtId="165" formatCode="0.0#"/>
  </x:numFmts>
  <x:fonts count="10">
    <x:font>
      <x:sz val="10"/>
      <x:color rgb="FF000000"/>
      <x:name val="Arial"/>
      <x:scheme val="minor"/>
    </x:font>
    <x:font>
      <x:b/>
      <x:sz val="16"/>
      <x:color rgb="FFFFFFFF"/>
      <x:name val="Arial"/>
    </x:font>
    <x:font/>
    <x:font>
      <x:color theme="1"/>
      <x:name val="Arial"/>
      <x:scheme val="minor"/>
    </x:font>
    <x:font>
      <x:u val="single"/>
      <x:color rgb="FF0000FF"/>
      <x:name val="Arial"/>
    </x:font>
    <x:font>
      <x:b/>
      <x:color theme="1"/>
      <x:name val="Arial"/>
    </x:font>
    <x:font>
      <x:b/>
      <x:sz val="10"/>
      <x:color theme="1"/>
      <x:name val="Arial"/>
    </x:font>
    <x:font>
      <x:b/>
      <x:color theme="1"/>
      <x:name val="Arial"/>
      <x:scheme val="minor"/>
    </x:font>
    <x:font>
      <x:color theme="1"/>
      <x:name val="Arial"/>
    </x:font>
    <x:font>
      <x:sz val="10"/>
      <x:color theme="1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1C4587"/>
      </x:patternFill>
    </x:fill>
    <x:fill>
      <x:patternFill patternType="solid">
        <x:fgColor rgb="FFCFE2F3"/>
      </x:patternFill>
    </x:fill>
    <x:fill>
      <x:patternFill patternType="solid">
        <x:fgColor rgb="FFA4C2F4"/>
      </x:patternFill>
    </x:fill>
    <x:fill>
      <x:patternFill patternType="solid">
        <x:fgColor rgb="FFB6D7A8"/>
      </x:patternFill>
    </x:fill>
  </x:fills>
  <x:borders count="1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</x:borders>
  <x:cellStyleXfs count="1">
    <x:xf numFmtId="0" fontId="0" fillId="0" borderId="0" applyFont="1" applyAlignment="1"/>
  </x:cellStyleXfs>
  <x:cellXfs count="78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vertical="center" wrapText="1" shrinkToFit="0"/>
    </x:xf>
    <x:xf numFmtId="0" fontId="4" fillId="3" borderId="1" xfId="0" applyFont="1" applyFill="1" applyBorder="1" applyAlignment="1">
      <x:alignment horizontal="left" vertical="center" wrapText="1" shrinkToFit="0"/>
    </x:xf>
    <x:xf numFmtId="0" fontId="5" fillId="4" borderId="4" xfId="0" applyFont="1" applyFill="1" applyBorder="1" applyAlignment="1">
      <x:alignment horizontal="center" vertical="center" wrapText="1" shrinkToFit="0"/>
    </x:xf>
    <x:xf numFmtId="0" fontId="6" fillId="4" borderId="4" xfId="0" applyFont="1" applyFill="1" applyBorder="1" applyAlignment="1">
      <x:alignment horizontal="center" vertical="center" wrapText="1" shrinkToFit="0"/>
    </x:xf>
    <x:xf numFmtId="0" fontId="5" fillId="4" borderId="4" xfId="0" applyFont="1" applyFill="1" applyBorder="1" applyAlignment="1">
      <x:alignment horizontal="center" vertical="center" wrapText="1" shrinkToFit="0"/>
    </x:xf>
    <x:xf numFmtId="0" fontId="5" fillId="4" borderId="1" xfId="0" applyFont="1" applyFill="1" applyBorder="1" applyAlignment="1">
      <x:alignment horizontal="center" vertical="center" wrapText="1" shrinkToFit="0"/>
    </x:xf>
    <x:xf numFmtId="0" fontId="7" fillId="4" borderId="4" xfId="0" applyFont="1" applyFill="1" applyBorder="1" applyAlignment="1">
      <x:alignment horizontal="center" vertical="center" wrapText="1" shrinkToFit="0"/>
    </x:xf>
    <x:xf numFmtId="0" fontId="7" fillId="4" borderId="5" xfId="0" applyFont="1" applyFill="1" applyBorder="1" applyAlignment="1">
      <x:alignment horizontal="center" vertical="center" wrapText="1" shrinkToFit="0"/>
    </x:xf>
    <x:xf numFmtId="0" fontId="2" fillId="0" borderId="6" xfId="0" applyFont="1" applyBorder="1"/>
    <x:xf numFmtId="0" fontId="5" fillId="4" borderId="5" xfId="0" applyFont="1" applyFill="1" applyBorder="1" applyAlignment="1">
      <x:alignment horizontal="center" vertical="center" wrapText="1" shrinkToFit="0"/>
    </x:xf>
    <x:xf numFmtId="0" fontId="8" fillId="0" borderId="5" xfId="0" applyFont="1" applyBorder="1" applyAlignment="1">
      <x:alignment horizontal="center" vertical="center" wrapText="1" shrinkToFit="0"/>
    </x:xf>
    <x:xf numFmtId="0" fontId="8" fillId="0" borderId="5" xfId="0" applyFont="1" applyBorder="1" applyAlignment="1">
      <x:alignment horizontal="left" vertical="center" wrapText="1" shrinkToFit="0"/>
    </x:xf>
    <x:xf numFmtId="0" fontId="8" fillId="0" borderId="5" xfId="0" applyFont="1" applyBorder="1" applyAlignment="1">
      <x:alignment horizontal="center" wrapText="1" shrinkToFit="0"/>
    </x:xf>
    <x:xf numFmtId="0" fontId="9" fillId="0" borderId="5" xfId="0" applyFont="1" applyBorder="1" applyAlignment="1">
      <x:alignment horizontal="center" vertical="center" wrapText="1" shrinkToFit="0"/>
    </x:xf>
    <x:xf numFmtId="164" fontId="8" fillId="0" borderId="5" xfId="0" applyNumberFormat="1" applyFont="1" applyBorder="1" applyAlignment="1">
      <x:alignment horizontal="center" vertical="center" wrapText="1" shrinkToFit="0"/>
    </x:xf>
    <x:xf numFmtId="3" fontId="9" fillId="0" borderId="5" xfId="0" applyNumberFormat="1" applyFont="1" applyBorder="1" applyAlignment="1">
      <x:alignment horizontal="center" vertical="center" wrapText="1" shrinkToFit="0"/>
    </x:xf>
    <x:xf numFmtId="3" fontId="8" fillId="0" borderId="5" xfId="0" applyNumberFormat="1" applyFont="1" applyBorder="1" applyAlignment="1">
      <x:alignment horizontal="center" wrapText="1" shrinkToFit="0"/>
    </x:xf>
    <x:xf numFmtId="3" fontId="3" fillId="0" borderId="5" xfId="0" applyNumberFormat="1" applyFont="1" applyBorder="1" applyAlignment="1">
      <x:alignment horizontal="center" wrapText="1" shrinkToFit="0"/>
    </x:xf>
    <x:xf numFmtId="9" fontId="8" fillId="0" borderId="5" xfId="0" applyNumberFormat="1" applyFont="1" applyBorder="1" applyAlignment="1">
      <x:alignment horizontal="center" wrapText="1" shrinkToFit="0"/>
    </x:xf>
    <x:xf numFmtId="9" fontId="3" fillId="0" borderId="5" xfId="0" applyNumberFormat="1" applyFont="1" applyBorder="1" applyAlignment="1">
      <x:alignment horizontal="center" wrapText="1" shrinkToFit="0"/>
    </x:xf>
    <x:xf numFmtId="0" fontId="3" fillId="0" borderId="5" xfId="0" applyFont="1" applyBorder="1" applyAlignment="1">
      <x:alignment horizontal="left" vertical="center" wrapText="1" shrinkToFit="0"/>
    </x:xf>
    <x:xf numFmtId="0" fontId="3" fillId="0" borderId="5" xfId="0" applyFont="1" applyBorder="1" applyAlignment="1">
      <x:alignment horizontal="center" wrapText="1" shrinkToFit="0"/>
    </x:xf>
    <x:xf numFmtId="0" fontId="3" fillId="0" borderId="0" xfId="0" applyFont="1" applyAlignment="1">
      <x:alignment horizontal="center" vertical="center" wrapText="1" shrinkToFit="0"/>
    </x:xf>
    <x:xf numFmtId="3" fontId="8" fillId="0" borderId="5" xfId="0" applyNumberFormat="1" applyFont="1" applyBorder="1" applyAlignment="1">
      <x:alignment horizontal="center" vertical="center" wrapText="1" shrinkToFit="0"/>
    </x:xf>
    <x:xf numFmtId="3" fontId="3" fillId="0" borderId="5" xfId="0" applyNumberFormat="1" applyFont="1" applyBorder="1" applyAlignment="1">
      <x:alignment horizontal="center" vertical="center" wrapText="1" shrinkToFit="0"/>
    </x:xf>
    <x:xf numFmtId="9" fontId="8" fillId="0" borderId="5" xfId="0" applyNumberFormat="1" applyFont="1" applyBorder="1" applyAlignment="1">
      <x:alignment horizontal="center" vertical="center" wrapText="1" shrinkToFit="0"/>
    </x:xf>
    <x:xf numFmtId="9" fontId="3" fillId="0" borderId="5" xfId="0" applyNumberFormat="1" applyFont="1" applyBorder="1" applyAlignment="1">
      <x:alignment horizontal="center" vertical="center" wrapText="1" shrinkToFit="0"/>
    </x:xf>
    <x:xf numFmtId="0" fontId="3" fillId="0" borderId="5" xfId="0" applyFont="1" applyBorder="1" applyAlignment="1">
      <x:alignment horizontal="center" vertical="center" wrapText="1" shrinkToFit="0"/>
    </x:xf>
    <x:xf numFmtId="165" fontId="8" fillId="0" borderId="5" xfId="0" applyNumberFormat="1" applyFont="1" applyBorder="1" applyAlignment="1">
      <x:alignment horizontal="center" vertical="center" wrapText="1" shrinkToFit="0"/>
    </x:xf>
    <x:xf numFmtId="9" fontId="8" fillId="0" borderId="5" xfId="0" applyNumberFormat="1" applyFont="1" applyBorder="1" applyAlignment="1">
      <x:alignment horizontal="center" wrapText="1" shrinkToFit="0"/>
    </x:xf>
    <x:xf numFmtId="9" fontId="3" fillId="0" borderId="5" xfId="0" applyNumberFormat="1" applyFont="1" applyBorder="1" applyAlignment="1">
      <x:alignment horizontal="center" wrapText="1" shrinkToFit="0"/>
    </x:xf>
    <x:xf numFmtId="9" fontId="3" fillId="0" borderId="5" xfId="0" applyNumberFormat="1" applyFont="1" applyBorder="1" applyAlignment="1">
      <x:alignment horizontal="center" vertical="center" wrapText="1" shrinkToFit="0"/>
    </x:xf>
    <x:xf numFmtId="0" fontId="3" fillId="0" borderId="0" xfId="0" applyFont="1" applyAlignment="1">
      <x:alignment horizontal="center"/>
    </x:xf>
    <x:xf numFmtId="3" fontId="9" fillId="0" borderId="5" xfId="0" applyNumberFormat="1" applyFont="1" applyBorder="1" applyAlignment="1">
      <x:alignment horizontal="center" vertical="center" wrapText="1" shrinkToFit="0"/>
    </x:xf>
    <x:xf numFmtId="3" fontId="3" fillId="0" borderId="0" xfId="0" applyNumberFormat="1" applyFont="1" applyAlignment="1">
      <x:alignment horizontal="center" vertical="center"/>
    </x:xf>
    <x:xf numFmtId="3" fontId="9" fillId="0" borderId="5" xfId="0" applyNumberFormat="1" applyFont="1" applyBorder="1" applyAlignment="1">
      <x:alignment horizontal="center" vertical="center" wrapText="1" shrinkToFit="0"/>
    </x:xf>
    <x:xf numFmtId="3" fontId="8" fillId="0" borderId="5" xfId="0" applyNumberFormat="1" applyFont="1" applyBorder="1" applyAlignment="1">
      <x:alignment horizontal="center" wrapText="1" shrinkToFit="0"/>
    </x:xf>
    <x:xf numFmtId="9" fontId="8" fillId="0" borderId="5" xfId="0" applyNumberFormat="1" applyFont="1" applyBorder="1" applyAlignment="1">
      <x:alignment horizontal="center" wrapText="1" shrinkToFit="0"/>
    </x:xf>
    <x:xf numFmtId="0" fontId="8" fillId="0" borderId="5" xfId="0" applyFont="1" applyBorder="1" applyAlignment="1">
      <x:alignment horizontal="center" wrapText="1" shrinkToFit="0"/>
    </x:xf>
    <x:xf numFmtId="9" fontId="8" fillId="0" borderId="5" xfId="0" applyNumberFormat="1" applyFont="1" applyBorder="1" applyAlignment="1">
      <x:alignment horizontal="center"/>
    </x:xf>
    <x:xf numFmtId="3" fontId="8" fillId="0" borderId="5" xfId="0" applyNumberFormat="1" applyFont="1" applyBorder="1" applyAlignment="1">
      <x:alignment horizontal="center"/>
    </x:xf>
    <x:xf numFmtId="1" fontId="8" fillId="0" borderId="5" xfId="0" applyNumberFormat="1" applyFont="1" applyBorder="1" applyAlignment="1">
      <x:alignment horizontal="center" vertical="center" wrapText="1" shrinkToFit="0"/>
    </x:xf>
    <x:xf numFmtId="1" fontId="3" fillId="0" borderId="5" xfId="0" applyNumberFormat="1" applyFont="1" applyBorder="1" applyAlignment="1">
      <x:alignment horizontal="center" vertical="center" wrapText="1" shrinkToFit="0"/>
    </x:xf>
    <x:xf numFmtId="0" fontId="3" fillId="0" borderId="0" xfId="0" applyFont="1" applyAlignment="1">
      <x:alignment horizontal="center" vertical="center"/>
    </x:xf>
    <x:xf numFmtId="0" fontId="3" fillId="0" borderId="5" xfId="0" applyFont="1" applyBorder="1" applyAlignment="1">
      <x:alignment horizontal="center"/>
    </x:xf>
    <x:xf numFmtId="1" fontId="3" fillId="0" borderId="5" xfId="0" applyNumberFormat="1" applyFont="1" applyBorder="1" applyAlignment="1">
      <x:alignment horizontal="center"/>
    </x:xf>
    <x:xf numFmtId="0" fontId="3" fillId="0" borderId="5" xfId="0" applyFont="1" applyBorder="1" applyAlignment="1">
      <x:alignment horizontal="center" vertical="center"/>
    </x:xf>
    <x:xf numFmtId="3" fontId="3" fillId="0" borderId="5" xfId="0" applyNumberFormat="1" applyFont="1" applyBorder="1" applyAlignment="1">
      <x:alignment horizontal="center"/>
    </x:xf>
    <x:xf numFmtId="0" fontId="3" fillId="0" borderId="5" xfId="0" applyFont="1" applyBorder="1" applyAlignment="1"/>
    <x:xf numFmtId="3" fontId="3" fillId="0" borderId="5" xfId="0" applyNumberFormat="1" applyFont="1" applyBorder="1" applyAlignment="1"/>
    <x:xf numFmtId="1" fontId="3" fillId="0" borderId="5" xfId="0" applyNumberFormat="1" applyFont="1" applyBorder="1" applyAlignment="1"/>
    <x:xf numFmtId="0" fontId="6" fillId="5" borderId="7" xfId="0" applyFont="1" applyFill="1" applyBorder="1" applyAlignment="1">
      <x:alignment horizontal="center" vertical="center" wrapText="1" shrinkToFit="0"/>
    </x:xf>
    <x:xf numFmtId="0" fontId="2" fillId="0" borderId="8" xfId="0" applyFont="1" applyBorder="1"/>
    <x:xf numFmtId="0" fontId="2" fillId="0" borderId="9" xfId="0" applyFont="1" applyBorder="1"/>
    <x:xf numFmtId="0" fontId="6" fillId="4" borderId="7" xfId="0" applyFont="1" applyFill="1" applyBorder="1" applyAlignment="1">
      <x:alignment horizontal="center" vertical="center" wrapText="1" shrinkToFit="0"/>
    </x:xf>
    <x:xf numFmtId="0" fontId="7" fillId="4" borderId="7" xfId="0" applyFont="1" applyFill="1" applyBorder="1" applyAlignment="1">
      <x:alignment horizontal="center" vertical="center" wrapText="1" shrinkToFit="0"/>
    </x:xf>
    <x:xf numFmtId="0" fontId="7" fillId="5" borderId="7" xfId="0" applyFont="1" applyFill="1" applyBorder="1" applyAlignment="1">
      <x:alignment horizontal="center" vertical="center" wrapText="1" shrinkToFit="0"/>
    </x:xf>
    <x:xf numFmtId="0" fontId="6" fillId="4" borderId="1" xfId="0" applyFont="1" applyFill="1" applyBorder="1" applyAlignment="1">
      <x:alignment horizontal="center" vertical="center" wrapText="1" shrinkToFit="0"/>
    </x:xf>
    <x:xf numFmtId="0" fontId="6" fillId="5" borderId="1" xfId="0" applyFont="1" applyFill="1" applyBorder="1" applyAlignment="1">
      <x:alignment horizontal="center" vertical="center" wrapText="1" shrinkToFit="0"/>
    </x:xf>
    <x:xf numFmtId="0" fontId="7" fillId="4" borderId="4" xfId="0" applyFont="1" applyFill="1" applyBorder="1" applyAlignment="1">
      <x:alignment horizontal="center" vertical="center" wrapText="1" shrinkToFit="0"/>
    </x:xf>
    <x:xf numFmtId="0" fontId="6" fillId="5" borderId="5" xfId="0" applyFont="1" applyFill="1" applyBorder="1" applyAlignment="1">
      <x:alignment horizontal="center" vertical="center" wrapText="1" shrinkToFit="0"/>
    </x:xf>
    <x:xf numFmtId="0" fontId="6" fillId="4" borderId="5" xfId="0" applyFont="1" applyFill="1" applyBorder="1" applyAlignment="1">
      <x:alignment horizontal="center" vertical="center" wrapText="1" shrinkToFit="0"/>
    </x:xf>
    <x:xf numFmtId="0" fontId="7" fillId="5" borderId="5" xfId="0" applyFont="1" applyFill="1" applyBorder="1" applyAlignment="1">
      <x:alignment horizontal="center" vertical="center" wrapText="1" shrinkToFit="0"/>
    </x:xf>
    <x:xf numFmtId="0" fontId="6" fillId="4" borderId="5" xfId="0" applyFont="1" applyFill="1" applyBorder="1" applyAlignment="1">
      <x:alignment horizontal="center" vertical="center" wrapText="1" shrinkToFit="0"/>
    </x:xf>
    <x:xf numFmtId="2" fontId="8" fillId="0" borderId="5" xfId="0" applyNumberFormat="1" applyFont="1" applyBorder="1" applyAlignment="1">
      <x:alignment horizontal="center" vertical="center" wrapText="1" shrinkToFit="0"/>
    </x:xf>
    <x:xf numFmtId="1" fontId="8" fillId="0" borderId="5" xfId="0" applyNumberFormat="1" applyFont="1" applyBorder="1" applyAlignment="1">
      <x:alignment horizontal="center" vertical="center" wrapText="1" shrinkToFit="0"/>
    </x:xf>
    <x:xf numFmtId="1" fontId="3" fillId="0" borderId="5" xfId="0" applyNumberFormat="1" applyFont="1" applyBorder="1" applyAlignment="1">
      <x:alignment horizontal="center" vertical="center" wrapText="1" shrinkToFit="0"/>
    </x:xf>
    <x:xf numFmtId="164" fontId="9" fillId="0" borderId="5" xfId="0" applyNumberFormat="1" applyFont="1" applyBorder="1" applyAlignment="1">
      <x:alignment horizontal="center" vertical="center" wrapText="1" shrinkToFit="0"/>
    </x:xf>
    <x:xf numFmtId="10" fontId="8" fillId="0" borderId="5" xfId="0" applyNumberFormat="1" applyFont="1" applyBorder="1"/>
    <x:xf numFmtId="10" fontId="3" fillId="0" borderId="5" xfId="0" applyNumberFormat="1" applyFont="1" applyBorder="1" applyAlignment="1">
      <x:alignment horizontal="left" vertical="center" wrapText="1" shrinkToFit="0"/>
    </x:xf>
    <x:xf numFmtId="1" fontId="8" fillId="0" borderId="5" xfId="0" applyNumberFormat="1" applyFont="1" applyBorder="1" applyAlignment="1">
      <x:alignment horizontal="center" wrapText="1" shrinkToFit="0"/>
    </x:xf>
    <x:xf numFmtId="1" fontId="8" fillId="0" borderId="5" xfId="0" applyNumberFormat="1" applyFont="1" applyBorder="1" applyAlignment="1">
      <x:alignment horizontal="center"/>
    </x:xf>
    <x:xf numFmtId="10" fontId="8" fillId="0" borderId="5" xfId="0" applyNumberFormat="1" applyFont="1" applyBorder="1" applyAlignment="1">
      <x:alignment vertical="bottom"/>
    </x:xf>
    <x:xf numFmtId="2" fontId="3" fillId="0" borderId="5" xfId="0" applyNumberFormat="1" applyFont="1" applyBorder="1" applyAlignment="1">
      <x:alignment horizontal="center" vertical="center" wrapText="1" shrinkToFi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422e86c8647b3" /><Relationship Type="http://schemas.openxmlformats.org/officeDocument/2006/relationships/theme" Target="/xl/theme/theme1.xml" Id="R8733152ee0b2454f" /><Relationship Type="http://schemas.openxmlformats.org/officeDocument/2006/relationships/sharedStrings" Target="/xl/sharedStrings.xml" Id="Rbe85240ba6564e02" /><Relationship Type="http://schemas.openxmlformats.org/officeDocument/2006/relationships/worksheet" Target="/xl/worksheets/sheet1.xml" Id="R4ab1cea01c944544" /><Relationship Type="http://schemas.openxmlformats.org/officeDocument/2006/relationships/worksheet" Target="/xl/worksheets/sheet2.xml" Id="R182e557f549a4ba0" /><Relationship Type="http://schemas.openxmlformats.org/officeDocument/2006/relationships/worksheet" Target="/xl/worksheets/sheet3.xml" Id="R91268f565c9246f5" /><Relationship Type="http://schemas.openxmlformats.org/officeDocument/2006/relationships/worksheet" Target="/xl/worksheets/sheet4.xml" Id="R18724e900ba34eb6" /><Relationship Type="http://schemas.openxmlformats.org/officeDocument/2006/relationships/worksheet" Target="/xl/worksheets/sheet5.xml" Id="R0338077cd9af453d" /><Relationship Type="http://schemas.openxmlformats.org/officeDocument/2006/relationships/worksheet" Target="/xl/worksheets/sheet6.xml" Id="Re65578a92aa541ca" /><Relationship Type="http://schemas.openxmlformats.org/officeDocument/2006/relationships/worksheet" Target="/xl/worksheets/sheet7.xml" Id="R50bc91ecc11741a1" /><Relationship Type="http://schemas.openxmlformats.org/officeDocument/2006/relationships/worksheet" Target="/xl/worksheets/sheet8.xml" Id="R76f7023317a14ed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figma.com/design/BTSOvEnU2X3CNrNvSxX9Ry/Finebank---Financial-Management-Dashboard-UI-Kits--Community---VibeTesting-?node-id=66-4728&amp;p=f&amp;t=LTofk7XE4yZcHPBU-0" TargetMode="External" Id="R96746a48fd7846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figma.com/design/BTSOvEnU2X3CNrNvSxX9Ry/Finebank---Financial-Management-Dashboard-UI-Kits--Community---VibeTesting-?node-id=66-4728&amp;p=f&amp;t=LTofk7XE4yZcHPBU-0" TargetMode="External" Id="R14196db1fc1a41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figma.com/design/BTSOvEnU2X3CNrNvSxX9Ry/Finebank---Financial-Management-Dashboard-UI-Kits--Community---VibeTesting-?node-id=66-4728&amp;p=f&amp;t=LTofk7XE4yZcHPBU-0" TargetMode="External" Id="Rc9e20209c88c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.figma.com/design/BTSOvEnU2X3CNrNvSxX9Ry/Finebank---Financial-Management-Dashboard-UI-Kits--Community---VibeTesting-?node-id=66-4728&amp;p=f&amp;t=LTofk7XE4yZcHPBU-0" TargetMode="External" Id="R422597689e7048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www.figma.com/design/BTSOvEnU2X3CNrNvSxX9Ry/Finebank---Financial-Management-Dashboard-UI-Kits--Community---VibeTesting-?node-id=66-4728&amp;p=f&amp;t=LTofk7XE4yZcHPBU-0" TargetMode="External" Id="R91637f1aabe54c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figma.com/design/BTSOvEnU2X3CNrNvSxX9Ry/Finebank---Financial-Management-Dashboard-UI-Kits--Community---VibeTesting-?node-id=66-4728&amp;p=f&amp;t=LTofk7XE4yZcHPBU-0" TargetMode="External" Id="R05d937e0f8a94b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www.figma.com/design/BTSOvEnU2X3CNrNvSxX9Ry/Finebank---Financial-Management-Dashboard-UI-Kits--Community---VibeTesting-?node-id=66-4728&amp;p=f&amp;t=LTofk7XE4yZcHPBU-0" TargetMode="External" Id="R2651d636779f4b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www.figma.com/design/BTSOvEnU2X3CNrNvSxX9Ry/Finebank---Financial-Management-Dashboard-UI-Kits--Community---VibeTesting-?node-id=66-4728&amp;p=f&amp;t=LTofk7XE4yZcHPBU-0" TargetMode="External" Id="Rf7404a65d02e40a1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8.25" customWidth="1"/>
    <x:col min="2" max="2" width="26.6299991607666" customWidth="1"/>
    <x:col min="6" max="6" width="12.630000114440918" customWidth="1"/>
    <x:col min="13" max="13" width="12.630000114440918" customWidth="1"/>
    <x:col min="20" max="20" width="45.5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3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5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3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7" t="s">
        <x:v>7</x:v>
      </x:c>
      <x:c r="G3" s="8" t="s">
        <x:v>8</x:v>
      </x:c>
      <x:c r="H3" s="6" t="s">
        <x:v>9</x:v>
      </x:c>
      <x:c r="I3" s="8" t="s">
        <x:v>10</x:v>
      </x:c>
      <x:c r="J3" s="9" t="s">
        <x:v>11</x:v>
      </x:c>
      <x:c r="K3" s="2"/>
      <x:c r="L3" s="3"/>
      <x:c r="M3" s="7" t="s">
        <x:v>12</x:v>
      </x:c>
      <x:c r="N3" s="6" t="s">
        <x:v>13</x:v>
      </x:c>
      <x:c r="O3" s="6" t="s">
        <x:v>14</x:v>
      </x:c>
      <x:c r="P3" s="6" t="s">
        <x:v>15</x:v>
      </x:c>
      <x:c r="Q3" s="6" t="s">
        <x:v>16</x:v>
      </x:c>
      <x:c r="R3" s="10" t="s">
        <x:v>17</x:v>
      </x:c>
      <x:c r="S3" s="10" t="s">
        <x:v>18</x:v>
      </x:c>
      <x:c r="T3" s="11" t="s">
        <x:v>19</x:v>
      </x:c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2.5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3" t="s">
        <x:v>20</x:v>
      </x:c>
      <x:c r="K4" s="13" t="s">
        <x:v>21</x:v>
      </x:c>
      <x:c r="L4" s="13" t="s">
        <x:v>22</x:v>
      </x:c>
      <x:c r="M4" s="12"/>
      <x:c r="N4" s="12"/>
      <x:c r="O4" s="12"/>
      <x:c r="P4" s="12"/>
      <x:c r="Q4" s="12"/>
      <x:c r="R4" s="12"/>
      <x:c r="S4" s="12"/>
      <x:c r="T4" s="11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14" t="s">
        <x:v>23</x:v>
      </x:c>
      <x:c r="B5" s="15" t="s">
        <x:v>24</x:v>
      </x:c>
      <x:c r="C5" s="16">
        <x:v>11.0</x:v>
      </x:c>
      <x:c r="D5" s="16">
        <x:v>11.0</x:v>
      </x:c>
      <x:c r="E5" s="16">
        <x:v>0.0</x:v>
      </x:c>
      <x:c r="F5" s="17"/>
      <x:c r="G5" s="16">
        <x:v>480.0</x:v>
      </x:c>
      <x:c r="H5" s="16">
        <x:v>0.0</x:v>
      </x:c>
      <x:c r="I5" s="16">
        <x:v>0.0</x:v>
      </x:c>
      <x:c r="J5" s="18">
        <x:v>46145.0</x:v>
      </x:c>
      <x:c r="K5" s="17">
        <x:v>4.0</x:v>
      </x:c>
      <x:c r="L5" s="14"/>
      <x:c r="M5" s="19"/>
      <x:c r="N5" s="20" t="n">
        <x:f t="shared" ref="N5:N6" si="1">8 * (3181090/6)</x:f>
        <x:v>4241453.333333333</x:v>
      </x:c>
      <x:c r="O5" s="21" t="n">
        <x:f t="shared" ref="O5:O7" si="2">0 * (3181090/6)</x:f>
        <x:v>0</x:v>
      </x:c>
      <x:c r="P5" s="20" t="n">
        <x:f t="shared" ref="P5:P21" si="3">SUM(M5:O5)</x:f>
        <x:v>4241453.333333333</x:v>
      </x:c>
      <x:c r="Q5" s="22">
        <x:v>1.0</x:v>
      </x:c>
      <x:c r="R5" s="23">
        <x:v>1.0</x:v>
      </x:c>
      <x:c r="S5" s="24" t="s">
        <x:v>25</x:v>
      </x:c>
      <x:c r="T5" s="2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14" t="s">
        <x:v>26</x:v>
      </x:c>
      <x:c r="B6" s="15" t="s">
        <x:v>27</x:v>
      </x:c>
      <x:c r="C6" s="16">
        <x:v>6.0</x:v>
      </x:c>
      <x:c r="D6" s="16">
        <x:v>6.0</x:v>
      </x:c>
      <x:c r="E6" s="16">
        <x:v>0.0</x:v>
      </x:c>
      <x:c r="F6" s="17"/>
      <x:c r="G6" s="16">
        <x:v>540.0</x:v>
      </x:c>
      <x:c r="H6" s="16">
        <x:v>0.0</x:v>
      </x:c>
      <x:c r="I6" s="16">
        <x:v>0.0</x:v>
      </x:c>
      <x:c r="J6" s="14">
        <x:v>3.0</x:v>
      </x:c>
      <x:c r="K6" s="17">
        <x:v>4.0</x:v>
      </x:c>
      <x:c r="L6" s="14"/>
      <x:c r="M6" s="19"/>
      <x:c r="N6" s="20">
        <x:f t="shared" si="1"/>
        <x:v>4241453.333</x:v>
      </x:c>
      <x:c r="O6" s="21">
        <x:f t="shared" si="2"/>
        <x:v>0</x:v>
      </x:c>
      <x:c r="P6" s="20">
        <x:f t="shared" si="3"/>
        <x:v>4241453.333</x:v>
      </x:c>
      <x:c r="Q6" s="16" t="s">
        <x:v>28</x:v>
      </x:c>
      <x:c r="R6" s="25" t="s">
        <x:v>29</x:v>
      </x:c>
      <x:c r="S6" s="24" t="s">
        <x:v>25</x:v>
      </x:c>
      <x:c r="T6" s="2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14" t="s">
        <x:v>30</x:v>
      </x:c>
      <x:c r="B7" s="15" t="s">
        <x:v>31</x:v>
      </x:c>
      <x:c r="C7" s="16">
        <x:v>7.0</x:v>
      </x:c>
      <x:c r="D7" s="16">
        <x:v>7.0</x:v>
      </x:c>
      <x:c r="E7" s="16">
        <x:v>0.0</x:v>
      </x:c>
      <x:c r="F7" s="17"/>
      <x:c r="G7" s="16">
        <x:v>600.0</x:v>
      </x:c>
      <x:c r="H7" s="16">
        <x:v>0.0</x:v>
      </x:c>
      <x:c r="I7" s="16">
        <x:v>0.0</x:v>
      </x:c>
      <x:c r="J7" s="14">
        <x:v>3.0</x:v>
      </x:c>
      <x:c r="K7" s="17">
        <x:v>4.0</x:v>
      </x:c>
      <x:c r="L7" s="14"/>
      <x:c r="M7" s="19"/>
      <x:c r="N7" s="20" t="n">
        <x:f>9 * (3181090/6)</x:f>
        <x:v>4771635</x:v>
      </x:c>
      <x:c r="O7" s="21">
        <x:f t="shared" si="2"/>
        <x:v>0</x:v>
      </x:c>
      <x:c r="P7" s="20">
        <x:f t="shared" si="3"/>
        <x:v>4771635</x:v>
      </x:c>
      <x:c r="Q7" s="22">
        <x:v>0.95</x:v>
      </x:c>
      <x:c r="R7" s="25" t="s">
        <x:v>28</x:v>
      </x:c>
      <x:c r="S7" s="24" t="s">
        <x:v>25</x:v>
      </x:c>
      <x:c r="T7" s="2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14" t="s">
        <x:v>32</x:v>
      </x:c>
      <x:c r="B8" s="15" t="s">
        <x:v>33</x:v>
      </x:c>
      <x:c r="C8" s="16">
        <x:v>6.0</x:v>
      </x:c>
      <x:c r="D8" s="16">
        <x:v>5.0</x:v>
      </x:c>
      <x:c r="E8" s="16">
        <x:v>1.0</x:v>
      </x:c>
      <x:c r="F8" s="17"/>
      <x:c r="G8" s="16">
        <x:v>660.0</x:v>
      </x:c>
      <x:c r="H8" s="16">
        <x:v>2.0</x:v>
      </x:c>
      <x:c r="I8" s="16">
        <x:v>360.0</x:v>
      </x:c>
      <x:c r="J8" s="14">
        <x:v>3.0</x:v>
      </x:c>
      <x:c r="K8" s="17">
        <x:v>6.0</x:v>
      </x:c>
      <x:c r="L8" s="14"/>
      <x:c r="M8" s="19"/>
      <x:c r="N8" s="20" t="n">
        <x:f>10 * (3181090/6)</x:f>
        <x:v>5301816.666666666</x:v>
      </x:c>
      <x:c r="O8" s="20" t="n">
        <x:f>4 * (3181090/6)</x:f>
        <x:v>2120726.6666666665</x:v>
      </x:c>
      <x:c r="P8" s="20">
        <x:f t="shared" si="3"/>
        <x:v>7422543.333</x:v>
      </x:c>
      <x:c r="Q8" s="22">
        <x:v>1.0</x:v>
      </x:c>
      <x:c r="R8" s="23">
        <x:v>0.9</x:v>
      </x:c>
      <x:c r="S8" s="24" t="s">
        <x:v>25</x:v>
      </x:c>
      <x:c r="T8" s="2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14" t="s">
        <x:v>34</x:v>
      </x:c>
      <x:c r="B9" s="15" t="s">
        <x:v>35</x:v>
      </x:c>
      <x:c r="C9" s="14">
        <x:v>7.0</x:v>
      </x:c>
      <x:c r="D9" s="14">
        <x:v>6.0</x:v>
      </x:c>
      <x:c r="E9" s="14">
        <x:v>1.0</x:v>
      </x:c>
      <x:c r="F9" s="17"/>
      <x:c r="G9" s="26">
        <x:v>601.0</x:v>
      </x:c>
      <x:c r="H9" s="14">
        <x:v>1.0</x:v>
      </x:c>
      <x:c r="I9" s="14">
        <x:v>213.0</x:v>
      </x:c>
      <x:c r="J9" s="18">
        <x:v>46144.0</x:v>
      </x:c>
      <x:c r="K9" s="17">
        <x:v>3.0</x:v>
      </x:c>
      <x:c r="L9" s="14">
        <x:v>3.0</x:v>
      </x:c>
      <x:c r="M9" s="19"/>
      <x:c r="N9" s="27">
        <x:v>3544856.0</x:v>
      </x:c>
      <x:c r="O9" s="28">
        <x:v>2221175.0</x:v>
      </x:c>
      <x:c r="P9" s="27">
        <x:f t="shared" si="3"/>
        <x:v>5766031</x:v>
      </x:c>
      <x:c r="Q9" s="29">
        <x:v>0.95</x:v>
      </x:c>
      <x:c r="R9" s="30">
        <x:v>1.0</x:v>
      </x:c>
      <x:c r="S9" s="24" t="s">
        <x:v>25</x:v>
      </x:c>
      <x:c r="T9" s="24" t="s">
        <x:v>36</x:v>
      </x:c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14" t="s">
        <x:v>37</x:v>
      </x:c>
      <x:c r="B10" s="15" t="s">
        <x:v>38</x:v>
      </x:c>
      <x:c r="C10" s="14">
        <x:v>9.0</x:v>
      </x:c>
      <x:c r="D10" s="14">
        <x:v>9.0</x:v>
      </x:c>
      <x:c r="E10" s="14">
        <x:v>0.0</x:v>
      </x:c>
      <x:c r="F10" s="17"/>
      <x:c r="G10" s="14">
        <x:v>899.0</x:v>
      </x:c>
      <x:c r="H10" s="14">
        <x:v>0.0</x:v>
      </x:c>
      <x:c r="I10" s="14">
        <x:v>0.0</x:v>
      </x:c>
      <x:c r="J10" s="14">
        <x:v>3.0</x:v>
      </x:c>
      <x:c r="K10" s="17">
        <x:v>3.0</x:v>
      </x:c>
      <x:c r="L10" s="14">
        <x:v>3.0</x:v>
      </x:c>
      <x:c r="M10" s="19"/>
      <x:c r="N10" s="27">
        <x:v>3804064.0</x:v>
      </x:c>
      <x:c r="O10" s="28">
        <x:v>0.0</x:v>
      </x:c>
      <x:c r="P10" s="27">
        <x:f t="shared" si="3"/>
        <x:v>3804064</x:v>
      </x:c>
      <x:c r="Q10" s="29">
        <x:v>0.98</x:v>
      </x:c>
      <x:c r="R10" s="30">
        <x:v>1.0</x:v>
      </x:c>
      <x:c r="S10" s="24" t="s">
        <x:v>25</x:v>
      </x:c>
      <x:c r="T10" s="24" t="s">
        <x:v>39</x:v>
      </x:c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14" t="s">
        <x:v>40</x:v>
      </x:c>
      <x:c r="B11" s="15" t="s">
        <x:v>41</x:v>
      </x:c>
      <x:c r="C11" s="14">
        <x:v>5.0</x:v>
      </x:c>
      <x:c r="D11" s="14">
        <x:v>5.0</x:v>
      </x:c>
      <x:c r="E11" s="14">
        <x:v>0.0</x:v>
      </x:c>
      <x:c r="F11" s="17"/>
      <x:c r="G11" s="14">
        <x:v>432.0</x:v>
      </x:c>
      <x:c r="H11" s="14">
        <x:v>0.0</x:v>
      </x:c>
      <x:c r="I11" s="14">
        <x:v>0.0</x:v>
      </x:c>
      <x:c r="J11" s="18">
        <x:v>46144.0</x:v>
      </x:c>
      <x:c r="K11" s="17">
        <x:v>3.0</x:v>
      </x:c>
      <x:c r="L11" s="14">
        <x:v>3.0</x:v>
      </x:c>
      <x:c r="M11" s="19"/>
      <x:c r="N11" s="27">
        <x:v>1871758.0</x:v>
      </x:c>
      <x:c r="O11" s="28">
        <x:v>0.0</x:v>
      </x:c>
      <x:c r="P11" s="27">
        <x:f t="shared" si="3"/>
        <x:v>1871758</x:v>
      </x:c>
      <x:c r="Q11" s="29">
        <x:v>0.98</x:v>
      </x:c>
      <x:c r="R11" s="30">
        <x:v>1.0</x:v>
      </x:c>
      <x:c r="S11" s="24" t="s">
        <x:v>25</x:v>
      </x:c>
      <x:c r="T11" s="24" t="s">
        <x:v>42</x:v>
      </x:c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14" t="s">
        <x:v>43</x:v>
      </x:c>
      <x:c r="B12" s="15" t="s">
        <x:v>44</x:v>
      </x:c>
      <x:c r="C12" s="14">
        <x:v>9.0</x:v>
      </x:c>
      <x:c r="D12" s="14">
        <x:v>9.0</x:v>
      </x:c>
      <x:c r="E12" s="14">
        <x:v>0.0</x:v>
      </x:c>
      <x:c r="F12" s="17"/>
      <x:c r="G12" s="14">
        <x:v>257.0</x:v>
      </x:c>
      <x:c r="H12" s="14">
        <x:v>0.0</x:v>
      </x:c>
      <x:c r="I12" s="14">
        <x:v>0.0</x:v>
      </x:c>
      <x:c r="J12" s="14">
        <x:v>2.0</x:v>
      </x:c>
      <x:c r="K12" s="17">
        <x:v>2.0</x:v>
      </x:c>
      <x:c r="L12" s="18">
        <x:v>46144.0</x:v>
      </x:c>
      <x:c r="M12" s="19"/>
      <x:c r="N12" s="27">
        <x:v>1405563.0</x:v>
      </x:c>
      <x:c r="O12" s="28">
        <x:v>0.0</x:v>
      </x:c>
      <x:c r="P12" s="27">
        <x:f t="shared" si="3"/>
        <x:v>1405563</x:v>
      </x:c>
      <x:c r="Q12" s="29">
        <x:v>0.98</x:v>
      </x:c>
      <x:c r="R12" s="30">
        <x:v>1.0</x:v>
      </x:c>
      <x:c r="S12" s="24" t="s">
        <x:v>25</x:v>
      </x:c>
      <x:c r="T12" s="24" t="s">
        <x:v>45</x:v>
      </x:c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14" t="s">
        <x:v>46</x:v>
      </x:c>
      <x:c r="B13" s="15" t="s">
        <x:v>47</x:v>
      </x:c>
      <x:c r="C13" s="14">
        <x:v>9.0</x:v>
      </x:c>
      <x:c r="D13" s="14">
        <x:v>9.0</x:v>
      </x:c>
      <x:c r="E13" s="14">
        <x:v>0.0</x:v>
      </x:c>
      <x:c r="F13" s="17"/>
      <x:c r="G13" s="14">
        <x:v>390.0</x:v>
      </x:c>
      <x:c r="H13" s="14">
        <x:v>0.0</x:v>
      </x:c>
      <x:c r="I13" s="14">
        <x:v>0.0</x:v>
      </x:c>
      <x:c r="J13" s="14">
        <x:v>2.0</x:v>
      </x:c>
      <x:c r="K13" s="17">
        <x:v>2.0</x:v>
      </x:c>
      <x:c r="L13" s="18">
        <x:v>46144.0</x:v>
      </x:c>
      <x:c r="M13" s="19"/>
      <x:c r="N13" s="27">
        <x:v>2489175.0</x:v>
      </x:c>
      <x:c r="O13" s="28">
        <x:v>0.0</x:v>
      </x:c>
      <x:c r="P13" s="27">
        <x:f t="shared" si="3"/>
        <x:v>2489175</x:v>
      </x:c>
      <x:c r="Q13" s="29">
        <x:v>0.98</x:v>
      </x:c>
      <x:c r="R13" s="30">
        <x:v>1.0</x:v>
      </x:c>
      <x:c r="S13" s="24" t="s">
        <x:v>25</x:v>
      </x:c>
      <x:c r="T13" s="24" t="s">
        <x:v>48</x:v>
      </x:c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14" t="s">
        <x:v>49</x:v>
      </x:c>
      <x:c r="B14" s="15" t="s">
        <x:v>50</x:v>
      </x:c>
      <x:c r="C14" s="14">
        <x:v>3.0</x:v>
      </x:c>
      <x:c r="D14" s="14">
        <x:v>3.0</x:v>
      </x:c>
      <x:c r="E14" s="14">
        <x:v>0.0</x:v>
      </x:c>
      <x:c r="F14" s="17"/>
      <x:c r="G14" s="14">
        <x:v>456.0</x:v>
      </x:c>
      <x:c r="H14" s="14">
        <x:v>1.0</x:v>
      </x:c>
      <x:c r="I14" s="14">
        <x:v>187.0</x:v>
      </x:c>
      <x:c r="J14" s="18">
        <x:v>46143.0</x:v>
      </x:c>
      <x:c r="K14" s="17">
        <x:v>2.0</x:v>
      </x:c>
      <x:c r="L14" s="14">
        <x:v>2.0</x:v>
      </x:c>
      <x:c r="M14" s="19"/>
      <x:c r="N14" s="27">
        <x:v>2889732.0</x:v>
      </x:c>
      <x:c r="O14" s="27">
        <x:v>1767457.0</x:v>
      </x:c>
      <x:c r="P14" s="27">
        <x:f t="shared" si="3"/>
        <x:v>4657189</x:v>
      </x:c>
      <x:c r="Q14" s="29">
        <x:v>0.98</x:v>
      </x:c>
      <x:c r="R14" s="30">
        <x:v>1.0</x:v>
      </x:c>
      <x:c r="S14" s="24" t="s">
        <x:v>25</x:v>
      </x:c>
      <x:c r="T14" s="24" t="s">
        <x:v>51</x:v>
      </x:c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14" t="s">
        <x:v>52</x:v>
      </x:c>
      <x:c r="B15" s="15" t="s">
        <x:v>53</x:v>
      </x:c>
      <x:c r="C15" s="14">
        <x:v>6.0</x:v>
      </x:c>
      <x:c r="D15" s="14">
        <x:v>6.0</x:v>
      </x:c>
      <x:c r="E15" s="14">
        <x:v>0.0</x:v>
      </x:c>
      <x:c r="F15" s="17"/>
      <x:c r="G15" s="14">
        <x:v>382.0</x:v>
      </x:c>
      <x:c r="H15" s="14">
        <x:v>0.0</x:v>
      </x:c>
      <x:c r="I15" s="14">
        <x:v>0.0</x:v>
      </x:c>
      <x:c r="J15" s="14">
        <x:v>3.0</x:v>
      </x:c>
      <x:c r="K15" s="17">
        <x:v>3.0</x:v>
      </x:c>
      <x:c r="L15" s="14"/>
      <x:c r="M15" s="19"/>
      <x:c r="N15" s="27">
        <x:v>1589034.0</x:v>
      </x:c>
      <x:c r="O15" s="28">
        <x:v>0.0</x:v>
      </x:c>
      <x:c r="P15" s="27">
        <x:f t="shared" si="3"/>
        <x:v>1589034</x:v>
      </x:c>
      <x:c r="Q15" s="29">
        <x:v>0.9</x:v>
      </x:c>
      <x:c r="R15" s="30">
        <x:v>1.0</x:v>
      </x:c>
      <x:c r="S15" s="24" t="s">
        <x:v>25</x:v>
      </x:c>
      <x:c r="T15" s="24" t="s">
        <x:v>54</x:v>
      </x:c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14" t="s">
        <x:v>55</x:v>
      </x:c>
      <x:c r="B16" s="15" t="s">
        <x:v>56</x:v>
      </x:c>
      <x:c r="C16" s="14">
        <x:v>9.0</x:v>
      </x:c>
      <x:c r="D16" s="14">
        <x:v>8.0</x:v>
      </x:c>
      <x:c r="E16" s="14">
        <x:v>1.0</x:v>
      </x:c>
      <x:c r="F16" s="17"/>
      <x:c r="G16" s="14">
        <x:v>503.0</x:v>
      </x:c>
      <x:c r="H16" s="14">
        <x:v>2.0</x:v>
      </x:c>
      <x:c r="I16" s="14">
        <x:v>358.0</x:v>
      </x:c>
      <x:c r="J16" s="18">
        <x:v>46146.0</x:v>
      </x:c>
      <x:c r="K16" s="17">
        <x:v>3.0</x:v>
      </x:c>
      <x:c r="L16" s="14"/>
      <x:c r="M16" s="19"/>
      <x:c r="N16" s="27">
        <x:v>2413518.0</x:v>
      </x:c>
      <x:c r="O16" s="28" t="n">
        <x:f>1933302+1025191</x:f>
        <x:v>2958493</x:v>
      </x:c>
      <x:c r="P16" s="27">
        <x:f t="shared" si="3"/>
        <x:v>5372011</x:v>
      </x:c>
      <x:c r="Q16" s="29">
        <x:v>0.9</x:v>
      </x:c>
      <x:c r="R16" s="30">
        <x:v>1.0</x:v>
      </x:c>
      <x:c r="S16" s="24" t="s">
        <x:v>57</x:v>
      </x:c>
      <x:c r="T16" s="24" t="s">
        <x:v>58</x:v>
      </x:c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14" t="s">
        <x:v>59</x:v>
      </x:c>
      <x:c r="B17" s="15" t="s">
        <x:v>60</x:v>
      </x:c>
      <x:c r="C17" s="14">
        <x:v>7.0</x:v>
      </x:c>
      <x:c r="D17" s="14">
        <x:v>7.0</x:v>
      </x:c>
      <x:c r="E17" s="14">
        <x:v>0.0</x:v>
      </x:c>
      <x:c r="F17" s="17"/>
      <x:c r="G17" s="14">
        <x:v>662.0</x:v>
      </x:c>
      <x:c r="H17" s="14">
        <x:v>0.0</x:v>
      </x:c>
      <x:c r="I17" s="14">
        <x:v>0.0</x:v>
      </x:c>
      <x:c r="J17" s="14">
        <x:v>3.0</x:v>
      </x:c>
      <x:c r="K17" s="17">
        <x:v>2.0</x:v>
      </x:c>
      <x:c r="L17" s="14"/>
      <x:c r="M17" s="19"/>
      <x:c r="N17" s="27">
        <x:v>4609215.0</x:v>
      </x:c>
      <x:c r="O17" s="28">
        <x:v>0.0</x:v>
      </x:c>
      <x:c r="P17" s="27">
        <x:f t="shared" si="3"/>
        <x:v>4609215</x:v>
      </x:c>
      <x:c r="Q17" s="29">
        <x:v>0.9</x:v>
      </x:c>
      <x:c r="R17" s="30">
        <x:v>1.0</x:v>
      </x:c>
      <x:c r="S17" s="24" t="s">
        <x:v>57</x:v>
      </x:c>
      <x:c r="T17" s="24" t="s">
        <x:v>61</x:v>
      </x:c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14" t="s">
        <x:v>62</x:v>
      </x:c>
      <x:c r="B18" s="15" t="s">
        <x:v>63</x:v>
      </x:c>
      <x:c r="C18" s="14">
        <x:v>3.0</x:v>
      </x:c>
      <x:c r="D18" s="14">
        <x:v>3.0</x:v>
      </x:c>
      <x:c r="E18" s="14">
        <x:v>0.0</x:v>
      </x:c>
      <x:c r="F18" s="17"/>
      <x:c r="G18" s="14">
        <x:v>583.0</x:v>
      </x:c>
      <x:c r="H18" s="14">
        <x:v>0.0</x:v>
      </x:c>
      <x:c r="I18" s="14">
        <x:v>0.0</x:v>
      </x:c>
      <x:c r="J18" s="14">
        <x:v>2.0</x:v>
      </x:c>
      <x:c r="K18" s="17">
        <x:v>2.0</x:v>
      </x:c>
      <x:c r="L18" s="14"/>
      <x:c r="M18" s="19"/>
      <x:c r="N18" s="27">
        <x:v>1592913.0</x:v>
      </x:c>
      <x:c r="O18" s="27">
        <x:v>0.0</x:v>
      </x:c>
      <x:c r="P18" s="27">
        <x:f t="shared" si="3"/>
        <x:v>1592913</x:v>
      </x:c>
      <x:c r="Q18" s="29">
        <x:v>0.95</x:v>
      </x:c>
      <x:c r="R18" s="30">
        <x:v>1.0</x:v>
      </x:c>
      <x:c r="S18" s="24" t="s">
        <x:v>25</x:v>
      </x:c>
      <x:c r="T18" s="24" t="s">
        <x:v>64</x:v>
      </x:c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14" t="s">
        <x:v>65</x:v>
      </x:c>
      <x:c r="B19" s="15" t="s">
        <x:v>66</x:v>
      </x:c>
      <x:c r="C19" s="14">
        <x:v>8.0</x:v>
      </x:c>
      <x:c r="D19" s="14">
        <x:v>8.0</x:v>
      </x:c>
      <x:c r="E19" s="14">
        <x:v>0.0</x:v>
      </x:c>
      <x:c r="F19" s="17"/>
      <x:c r="G19" s="14">
        <x:v>577.0</x:v>
      </x:c>
      <x:c r="H19" s="14">
        <x:v>0.0</x:v>
      </x:c>
      <x:c r="I19" s="14">
        <x:v>0.0</x:v>
      </x:c>
      <x:c r="J19" s="14">
        <x:v>4.0</x:v>
      </x:c>
      <x:c r="K19" s="17">
        <x:v>3.0</x:v>
      </x:c>
      <x:c r="L19" s="14"/>
      <x:c r="M19" s="19"/>
      <x:c r="N19" s="27">
        <x:v>3543132.0</x:v>
      </x:c>
      <x:c r="O19" s="27">
        <x:v>0.0</x:v>
      </x:c>
      <x:c r="P19" s="27">
        <x:f t="shared" si="3"/>
        <x:v>3543132</x:v>
      </x:c>
      <x:c r="Q19" s="29">
        <x:v>0.9</x:v>
      </x:c>
      <x:c r="R19" s="30">
        <x:v>1.0</x:v>
      </x:c>
      <x:c r="S19" s="24" t="s">
        <x:v>57</x:v>
      </x:c>
      <x:c r="T19" s="24" t="s">
        <x:v>67</x:v>
      </x:c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14" t="s">
        <x:v>68</x:v>
      </x:c>
      <x:c r="B20" s="15" t="s">
        <x:v>69</x:v>
      </x:c>
      <x:c r="C20" s="14">
        <x:v>5.0</x:v>
      </x:c>
      <x:c r="D20" s="14">
        <x:v>5.0</x:v>
      </x:c>
      <x:c r="E20" s="14">
        <x:v>0.0</x:v>
      </x:c>
      <x:c r="F20" s="17"/>
      <x:c r="G20" s="14">
        <x:v>600.0</x:v>
      </x:c>
      <x:c r="H20" s="14">
        <x:v>0.0</x:v>
      </x:c>
      <x:c r="I20" s="14">
        <x:v>0.0</x:v>
      </x:c>
      <x:c r="J20" s="14">
        <x:v>4.0</x:v>
      </x:c>
      <x:c r="K20" s="17">
        <x:v>3.0</x:v>
      </x:c>
      <x:c r="L20" s="14"/>
      <x:c r="M20" s="19"/>
      <x:c r="N20" s="27">
        <x:v>2435784.0</x:v>
      </x:c>
      <x:c r="O20" s="27">
        <x:v>0.0</x:v>
      </x:c>
      <x:c r="P20" s="27">
        <x:f t="shared" si="3"/>
        <x:v>2435784</x:v>
      </x:c>
      <x:c r="Q20" s="29">
        <x:v>1.0</x:v>
      </x:c>
      <x:c r="R20" s="30">
        <x:v>1.0</x:v>
      </x:c>
      <x:c r="S20" s="24" t="s">
        <x:v>25</x:v>
      </x:c>
      <x:c r="T20" s="24" t="s">
        <x:v>70</x:v>
      </x:c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31" t="s">
        <x:v>71</x:v>
      </x:c>
      <x:c r="B21" s="24" t="s">
        <x:v>72</x:v>
      </x:c>
      <x:c r="C21" s="31">
        <x:v>9.0</x:v>
      </x:c>
      <x:c r="D21" s="31">
        <x:v>9.0</x:v>
      </x:c>
      <x:c r="E21" s="31">
        <x:v>0.0</x:v>
      </x:c>
      <x:c r="F21" s="17"/>
      <x:c r="G21" s="31">
        <x:v>352.0</x:v>
      </x:c>
      <x:c r="H21" s="31">
        <x:v>1.0</x:v>
      </x:c>
      <x:c r="I21" s="31">
        <x:v>111.0</x:v>
      </x:c>
      <x:c r="J21" s="31">
        <x:v>3.0</x:v>
      </x:c>
      <x:c r="K21" s="17">
        <x:v>3.0</x:v>
      </x:c>
      <x:c r="L21" s="31"/>
      <x:c r="M21" s="19"/>
      <x:c r="N21" s="28">
        <x:v>2104735.0</x:v>
      </x:c>
      <x:c r="O21" s="28">
        <x:v>1517141.0</x:v>
      </x:c>
      <x:c r="P21" s="27">
        <x:f t="shared" si="3"/>
        <x:v>3621876</x:v>
      </x:c>
      <x:c r="Q21" s="30">
        <x:v>0.8</x:v>
      </x:c>
      <x:c r="R21" s="30">
        <x:v>1.0</x:v>
      </x:c>
      <x:c r="S21" s="24" t="s">
        <x:v>57</x:v>
      </x:c>
      <x:c r="T21" s="24" t="s">
        <x:v>73</x:v>
      </x:c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  <x:c r="AC466" s="4"/>
      <x:c r="AD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  <x:c r="AC508" s="4"/>
      <x:c r="AD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  <x:c r="AC509" s="4"/>
      <x:c r="AD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  <x:c r="AC510" s="4"/>
      <x:c r="AD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  <x:c r="AC511" s="4"/>
      <x:c r="AD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  <x:c r="AC512" s="4"/>
      <x:c r="AD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  <x:c r="AC513" s="4"/>
      <x:c r="AD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  <x:c r="AC514" s="4"/>
      <x:c r="AD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  <x:c r="AC515" s="4"/>
      <x:c r="AD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  <x:c r="AC516" s="4"/>
      <x:c r="AD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  <x:c r="AC517" s="4"/>
      <x:c r="AD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  <x:c r="AC518" s="4"/>
      <x:c r="AD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  <x:c r="AC519" s="4"/>
      <x:c r="AD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  <x:c r="AC520" s="4"/>
      <x:c r="AD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  <x:c r="AC521" s="4"/>
      <x:c r="AD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  <x:c r="AC522" s="4"/>
      <x:c r="AD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  <x:c r="AC523" s="4"/>
      <x:c r="AD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  <x:c r="AC524" s="4"/>
      <x:c r="AD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  <x:c r="AB525" s="4"/>
      <x:c r="AC525" s="4"/>
      <x:c r="AD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  <x:c r="AB526" s="4"/>
      <x:c r="AC526" s="4"/>
      <x:c r="AD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  <x:c r="AC527" s="4"/>
      <x:c r="AD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  <x:c r="AC528" s="4"/>
      <x:c r="AD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  <x:c r="AC529" s="4"/>
      <x:c r="AD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  <x:c r="AC530" s="4"/>
      <x:c r="AD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  <x:c r="AC531" s="4"/>
      <x:c r="AD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  <x:c r="AC532" s="4"/>
      <x:c r="AD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  <x:c r="AC533" s="4"/>
      <x:c r="AD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  <x:c r="AC534" s="4"/>
      <x:c r="AD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  <x:c r="AC535" s="4"/>
      <x:c r="AD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  <x:c r="AC536" s="4"/>
      <x:c r="AD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  <x:c r="AC537" s="4"/>
      <x:c r="AD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  <x:c r="AC538" s="4"/>
      <x:c r="AD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  <x:c r="AC539" s="4"/>
      <x:c r="AD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  <x:c r="AC540" s="4"/>
      <x:c r="AD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  <x:c r="AC541" s="4"/>
      <x:c r="AD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  <x:c r="AC542" s="4"/>
      <x:c r="AD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  <x:c r="AC543" s="4"/>
      <x:c r="AD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  <x:c r="AC597" s="4"/>
      <x:c r="AD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  <x:c r="AC598" s="4"/>
      <x:c r="AD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  <x:c r="AC599" s="4"/>
      <x:c r="AD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  <x:c r="AC600" s="4"/>
      <x:c r="AD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  <x:c r="AC601" s="4"/>
      <x:c r="AD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  <x:c r="AC602" s="4"/>
      <x:c r="AD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  <x:c r="AC603" s="4"/>
      <x:c r="AD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  <x:c r="AC604" s="4"/>
      <x:c r="AD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  <x:c r="AC605" s="4"/>
      <x:c r="AD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  <x:c r="AC606" s="4"/>
      <x:c r="AD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  <x:c r="AC607" s="4"/>
      <x:c r="AD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  <x:c r="AC608" s="4"/>
      <x:c r="AD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  <x:c r="AC609" s="4"/>
      <x:c r="AD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  <x:c r="AC610" s="4"/>
      <x:c r="AD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  <x:c r="AC611" s="4"/>
      <x:c r="AD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  <x:c r="AC612" s="4"/>
      <x:c r="AD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  <x:c r="AC613" s="4"/>
      <x:c r="AD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  <x:c r="AB614" s="4"/>
      <x:c r="AC614" s="4"/>
      <x:c r="AD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  <x:c r="AB615" s="4"/>
      <x:c r="AC615" s="4"/>
      <x:c r="AD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  <x:c r="AC616" s="4"/>
      <x:c r="AD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  <x:c r="AC617" s="4"/>
      <x:c r="AD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  <x:c r="AC618" s="4"/>
      <x:c r="AD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  <x:c r="AC619" s="4"/>
      <x:c r="AD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  <x:c r="AC620" s="4"/>
      <x:c r="AD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  <x:c r="AC621" s="4"/>
      <x:c r="AD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  <x:c r="AC622" s="4"/>
      <x:c r="AD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  <x:c r="AC623" s="4"/>
      <x:c r="AD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  <x:c r="AC624" s="4"/>
      <x:c r="AD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  <x:c r="AC625" s="4"/>
      <x:c r="AD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  <x:c r="AC626" s="4"/>
      <x:c r="AD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  <x:c r="AC627" s="4"/>
      <x:c r="AD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  <x:c r="AC628" s="4"/>
      <x:c r="AD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  <x:c r="AC629" s="4"/>
      <x:c r="AD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  <x:c r="AC630" s="4"/>
      <x:c r="AD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  <x:c r="AC631" s="4"/>
      <x:c r="AD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  <x:c r="AC632" s="4"/>
      <x:c r="AD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  <x:c r="AC720" s="4"/>
      <x:c r="AD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  <x:c r="AC721" s="4"/>
      <x:c r="AD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  <x:c r="AC722" s="4"/>
      <x:c r="AD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  <x:c r="AC723" s="4"/>
      <x:c r="AD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  <x:c r="AC724" s="4"/>
      <x:c r="AD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  <x:c r="AC725" s="4"/>
      <x:c r="AD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  <x:c r="AC726" s="4"/>
      <x:c r="AD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  <x:c r="AC727" s="4"/>
      <x:c r="AD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  <x:c r="AC728" s="4"/>
      <x:c r="AD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  <x:c r="AC729" s="4"/>
      <x:c r="AD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  <x:c r="AC730" s="4"/>
      <x:c r="AD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  <x:c r="AC731" s="4"/>
      <x:c r="AD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  <x:c r="AC732" s="4"/>
      <x:c r="AD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  <x:c r="AC733" s="4"/>
      <x:c r="AD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  <x:c r="AC734" s="4"/>
      <x:c r="AD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  <x:c r="AC735" s="4"/>
      <x:c r="AD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  <x:c r="AC736" s="4"/>
      <x:c r="AD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  <x:c r="AB737" s="4"/>
      <x:c r="AC737" s="4"/>
      <x:c r="AD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  <x:c r="AB738" s="4"/>
      <x:c r="AC738" s="4"/>
      <x:c r="AD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  <x:c r="AB739" s="4"/>
      <x:c r="AC739" s="4"/>
      <x:c r="AD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  <x:c r="AB740" s="4"/>
      <x:c r="AC740" s="4"/>
      <x:c r="AD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  <x:c r="AB741" s="4"/>
      <x:c r="AC741" s="4"/>
      <x:c r="AD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  <x:c r="AB742" s="4"/>
      <x:c r="AC742" s="4"/>
      <x:c r="AD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  <x:c r="AB743" s="4"/>
      <x:c r="AC743" s="4"/>
      <x:c r="AD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  <x:c r="AB744" s="4"/>
      <x:c r="AC744" s="4"/>
      <x:c r="AD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  <x:c r="AC745" s="4"/>
      <x:c r="AD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  <x:c r="AC746" s="4"/>
      <x:c r="AD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  <x:c r="AC747" s="4"/>
      <x:c r="AD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  <x:c r="AC748" s="4"/>
      <x:c r="AD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  <x:c r="AC749" s="4"/>
      <x:c r="AD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  <x:c r="AC750" s="4"/>
      <x:c r="AD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  <x:c r="AC751" s="4"/>
      <x:c r="AD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  <x:c r="AC752" s="4"/>
      <x:c r="AD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  <x:c r="AC753" s="4"/>
      <x:c r="AD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  <x:c r="AC754" s="4"/>
      <x:c r="AD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  <x:c r="AC755" s="4"/>
      <x:c r="AD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  <x:c r="AC756" s="4"/>
      <x:c r="AD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  <x:c r="AC757" s="4"/>
      <x:c r="AD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  <x:c r="AC758" s="4"/>
      <x:c r="AD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  <x:c r="AC759" s="4"/>
      <x:c r="AD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  <x:c r="AC760" s="4"/>
      <x:c r="AD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  <x:c r="AC761" s="4"/>
      <x:c r="AD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  <x:c r="AC838" s="4"/>
      <x:c r="AD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  <x:c r="AC839" s="4"/>
      <x:c r="AD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  <x:c r="AC840" s="4"/>
      <x:c r="AD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  <x:c r="AC852" s="4"/>
      <x:c r="AD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  <x:c r="AC853" s="4"/>
      <x:c r="AD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  <x:c r="AC854" s="4"/>
      <x:c r="AD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  <x:c r="AC855" s="4"/>
      <x:c r="AD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  <x:c r="AC856" s="4"/>
      <x:c r="AD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  <x:c r="AC857" s="4"/>
      <x:c r="AD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  <x:c r="AC858" s="4"/>
      <x:c r="AD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  <x:c r="AC859" s="4"/>
      <x:c r="AD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  <x:c r="AC860" s="4"/>
      <x:c r="AD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  <x:c r="AC861" s="4"/>
      <x:c r="AD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  <x:c r="AC862" s="4"/>
      <x:c r="AD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  <x:c r="AC864" s="4"/>
      <x:c r="AD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  <x:c r="AC865" s="4"/>
      <x:c r="AD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  <x:c r="AC866" s="4"/>
      <x:c r="AD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  <x:c r="AC867" s="4"/>
      <x:c r="AD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  <x:c r="AC868" s="4"/>
      <x:c r="AD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  <x:c r="AC869" s="4"/>
      <x:c r="AD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  <x:c r="AC870" s="4"/>
      <x:c r="AD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  <x:c r="AC871" s="4"/>
      <x:c r="AD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  <x:c r="AC872" s="4"/>
      <x:c r="AD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  <x:c r="AC873" s="4"/>
      <x:c r="AD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  <x:c r="AC874" s="4"/>
      <x:c r="AD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  <x:c r="AC875" s="4"/>
      <x:c r="AD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  <x:c r="AC876" s="4"/>
      <x:c r="AD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  <x:c r="AC877" s="4"/>
      <x:c r="AD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  <x:c r="AC878" s="4"/>
      <x:c r="AD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  <x:c r="AC879" s="4"/>
      <x:c r="AD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  <x:c r="AC880" s="4"/>
      <x:c r="AD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  <x:c r="AC881" s="4"/>
      <x:c r="AD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  <x:c r="AC916" s="4"/>
      <x:c r="AD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  <x:c r="AC917" s="4"/>
      <x:c r="AD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  <x:c r="AC918" s="4"/>
      <x:c r="AD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  <x:c r="AC930" s="4"/>
      <x:c r="AD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  <x:c r="AC931" s="4"/>
      <x:c r="AD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  <x:c r="AC932" s="4"/>
      <x:c r="AD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  <x:c r="AC933" s="4"/>
      <x:c r="AD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  <x:c r="AC934" s="4"/>
      <x:c r="AD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  <x:c r="AC935" s="4"/>
      <x:c r="AD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  <x:c r="AC936" s="4"/>
      <x:c r="AD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  <x:c r="AC937" s="4"/>
      <x:c r="AD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  <x:c r="AC938" s="4"/>
      <x:c r="AD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  <x:c r="AC939" s="4"/>
      <x:c r="AD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  <x:c r="AC940" s="4"/>
      <x:c r="AD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  <x:c r="AC942" s="4"/>
      <x:c r="AD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  <x:c r="AC943" s="4"/>
      <x:c r="AD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  <x:c r="AC944" s="4"/>
      <x:c r="AD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  <x:c r="AC945" s="4"/>
      <x:c r="AD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  <x:c r="AC946" s="4"/>
      <x:c r="AD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  <x:c r="AC947" s="4"/>
      <x:c r="AD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  <x:c r="AC948" s="4"/>
      <x:c r="AD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  <x:c r="AC949" s="4"/>
      <x:c r="AD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  <x:c r="AC950" s="4"/>
      <x:c r="AD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  <x:c r="AC951" s="4"/>
      <x:c r="AD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  <x:c r="AC952" s="4"/>
      <x:c r="AD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  <x:c r="AC953" s="4"/>
      <x:c r="AD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  <x:c r="AC954" s="4"/>
      <x:c r="AD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  <x:c r="AC955" s="4"/>
      <x:c r="AD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  <x:c r="AC956" s="4"/>
      <x:c r="AD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  <x:c r="AC957" s="4"/>
      <x:c r="AD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  <x:c r="AB958" s="4"/>
      <x:c r="AC958" s="4"/>
      <x:c r="AD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  <x:c r="AB959" s="4"/>
      <x:c r="AC959" s="4"/>
      <x:c r="AD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  <x:c r="AC960" s="4"/>
      <x:c r="AD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  <x:c r="AC961" s="4"/>
      <x:c r="AD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  <x:c r="AC962" s="4"/>
      <x:c r="AD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  <x:c r="AC963" s="4"/>
      <x:c r="AD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  <x:c r="AC964" s="4"/>
      <x:c r="AD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  <x:c r="AC965" s="4"/>
      <x:c r="AD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  <x:c r="AC966" s="4"/>
      <x:c r="AD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  <x:c r="AC967" s="4"/>
      <x:c r="AD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  <x:c r="AC968" s="4"/>
      <x:c r="AD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  <x:c r="AC969" s="4"/>
      <x:c r="AD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  <x:c r="AC970" s="4"/>
      <x:c r="AD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  <x:c r="AC971" s="4"/>
      <x:c r="AD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  <x:c r="AC972" s="4"/>
      <x:c r="AD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  <x:c r="AC973" s="4"/>
      <x:c r="AD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  <x:c r="AC974" s="4"/>
      <x:c r="AD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  <x:c r="AC975" s="4"/>
      <x:c r="AD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  <x:c r="AC976" s="4"/>
      <x:c r="AD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  <x:c r="AC977" s="4"/>
      <x:c r="AD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  <x:c r="AC978" s="4"/>
      <x:c r="AD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  <x:c r="AC979" s="4"/>
      <x:c r="AD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  <x:c r="AC980" s="4"/>
      <x:c r="AD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  <x:c r="AC981" s="4"/>
      <x:c r="AD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  <x:c r="AC982" s="4"/>
      <x:c r="AD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  <x:c r="AC983" s="4"/>
      <x:c r="AD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  <x:c r="AC984" s="4"/>
      <x:c r="AD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  <x:c r="AC985" s="4"/>
      <x:c r="AD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  <x:c r="AC986" s="4"/>
      <x:c r="AD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  <x:c r="AC987" s="4"/>
      <x:c r="AD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  <x:c r="AC988" s="4"/>
      <x:c r="AD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  <x:c r="AC989" s="4"/>
      <x:c r="AD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  <x:c r="AC990" s="4"/>
      <x:c r="AD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  <x:c r="AC991" s="4"/>
      <x:c r="AD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  <x:c r="AC992" s="4"/>
      <x:c r="AD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  <x:c r="AC993" s="4"/>
      <x:c r="AD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  <x:c r="AC994" s="4"/>
      <x:c r="AD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  <x:c r="AC995" s="4"/>
      <x:c r="AD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  <x:c r="AC996" s="4"/>
      <x:c r="AD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  <x:c r="AC997" s="4"/>
      <x:c r="AD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  <x:c r="AC998" s="4"/>
      <x:c r="AD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  <x:c r="AB999" s="4"/>
      <x:c r="AC999" s="4"/>
      <x:c r="AD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  <x:c r="AB1000" s="4"/>
      <x:c r="AC1000" s="4"/>
      <x:c r="AD1000" s="4"/>
    </x:row>
    <x:row r="1001">
      <x:c r="A1001" s="4"/>
      <x:c r="B1001" s="4"/>
      <x:c r="C1001" s="4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  <x:c r="Z1001" s="4"/>
      <x:c r="AA1001" s="4"/>
      <x:c r="AB1001" s="4"/>
      <x:c r="AC1001" s="4"/>
      <x:c r="AD1001" s="4"/>
    </x:row>
    <x:row r="1002">
      <x:c r="A1002" s="4"/>
      <x:c r="B1002" s="4"/>
      <x:c r="C1002" s="4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  <x:c r="Z1002" s="4"/>
      <x:c r="AA1002" s="4"/>
      <x:c r="AB1002" s="4"/>
      <x:c r="AC1002" s="4"/>
      <x:c r="AD1002" s="4"/>
    </x:row>
    <x:row r="1003">
      <x:c r="A1003" s="4"/>
      <x:c r="B1003" s="4"/>
      <x:c r="C1003" s="4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  <x:c r="Z1003" s="4"/>
      <x:c r="AA1003" s="4"/>
      <x:c r="AB1003" s="4"/>
      <x:c r="AC1003" s="4"/>
      <x:c r="AD1003" s="4"/>
    </x:row>
    <x:row r="1004">
      <x:c r="A1004" s="4"/>
      <x:c r="B1004" s="4"/>
      <x:c r="C1004" s="4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  <x:c r="Z1004" s="4"/>
      <x:c r="AA1004" s="4"/>
      <x:c r="AB1004" s="4"/>
      <x:c r="AC1004" s="4"/>
      <x:c r="AD1004" s="4"/>
    </x:row>
    <x:row r="1005">
      <x:c r="A1005" s="4"/>
      <x:c r="B1005" s="4"/>
      <x:c r="C1005" s="4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  <x:c r="Z1005" s="4"/>
      <x:c r="AA1005" s="4"/>
      <x:c r="AB1005" s="4"/>
      <x:c r="AC1005" s="4"/>
      <x:c r="AD1005" s="4"/>
    </x:row>
    <x:row r="1006">
      <x:c r="A1006" s="4"/>
      <x:c r="B1006" s="4"/>
      <x:c r="C1006" s="4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  <x:c r="Z1006" s="4"/>
      <x:c r="AA1006" s="4"/>
      <x:c r="AB1006" s="4"/>
      <x:c r="AC1006" s="4"/>
      <x:c r="AD1006" s="4"/>
    </x:row>
    <x:row r="1007">
      <x:c r="A1007" s="4"/>
      <x:c r="B1007" s="4"/>
      <x:c r="C1007" s="4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  <x:c r="Z1007" s="4"/>
      <x:c r="AA1007" s="4"/>
      <x:c r="AB1007" s="4"/>
      <x:c r="AC1007" s="4"/>
      <x:c r="AD1007" s="4"/>
    </x:row>
    <x:row r="1008">
      <x:c r="A1008" s="4"/>
      <x:c r="B1008" s="4"/>
      <x:c r="C1008" s="4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  <x:c r="Z1008" s="4"/>
      <x:c r="AA1008" s="4"/>
      <x:c r="AB1008" s="4"/>
      <x:c r="AC1008" s="4"/>
      <x:c r="AD1008" s="4"/>
    </x:row>
    <x:row r="1009">
      <x:c r="A1009" s="4"/>
      <x:c r="B1009" s="4"/>
      <x:c r="C1009" s="4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  <x:c r="Z1009" s="4"/>
      <x:c r="AA1009" s="4"/>
      <x:c r="AB1009" s="4"/>
      <x:c r="AC1009" s="4"/>
      <x:c r="AD1009" s="4"/>
    </x:row>
    <x:row r="1010">
      <x:c r="A1010" s="4"/>
      <x:c r="B1010" s="4"/>
      <x:c r="C1010" s="4"/>
      <x:c r="D1010" s="4"/>
      <x:c r="E1010" s="4"/>
      <x:c r="F1010" s="4"/>
      <x:c r="G1010" s="4"/>
      <x:c r="H1010" s="4"/>
      <x:c r="I1010" s="4"/>
      <x:c r="J1010" s="4"/>
      <x:c r="K1010" s="4"/>
      <x:c r="L1010" s="4"/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4"/>
      <x:c r="W1010" s="4"/>
      <x:c r="X1010" s="4"/>
      <x:c r="Y1010" s="4"/>
      <x:c r="Z1010" s="4"/>
      <x:c r="AA1010" s="4"/>
      <x:c r="AB1010" s="4"/>
      <x:c r="AC1010" s="4"/>
      <x:c r="AD1010" s="4"/>
    </x:row>
    <x:row r="1011">
      <x:c r="A1011" s="4"/>
      <x:c r="B1011" s="4"/>
      <x:c r="C1011" s="4"/>
      <x:c r="D1011" s="4"/>
      <x:c r="E1011" s="4"/>
      <x:c r="F1011" s="4"/>
      <x:c r="G1011" s="4"/>
      <x:c r="H1011" s="4"/>
      <x:c r="I1011" s="4"/>
      <x:c r="J1011" s="4"/>
      <x:c r="K1011" s="4"/>
      <x:c r="L1011" s="4"/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4"/>
      <x:c r="W1011" s="4"/>
      <x:c r="X1011" s="4"/>
      <x:c r="Y1011" s="4"/>
      <x:c r="Z1011" s="4"/>
      <x:c r="AA1011" s="4"/>
      <x:c r="AB1011" s="4"/>
      <x:c r="AC1011" s="4"/>
      <x:c r="AD1011" s="4"/>
    </x:row>
  </x:sheetData>
  <x:mergeCells>
    <x:mergeCell ref="F3:F4"/>
    <x:mergeCell ref="G3:G4"/>
    <x:mergeCell ref="H3:H4"/>
    <x:mergeCell ref="I3:I4"/>
    <x:mergeCell ref="J3:L3"/>
    <x:mergeCell ref="M3:M4"/>
    <x:mergeCell ref="N3:N4"/>
    <x:mergeCell ref="O3:O4"/>
    <x:mergeCell ref="P3:P4"/>
    <x:mergeCell ref="Q3:Q4"/>
    <x:mergeCell ref="R3:R4"/>
    <x:mergeCell ref="S3:S4"/>
    <x:mergeCell ref="A1:T1"/>
    <x:mergeCell ref="A2:T2"/>
    <x:mergeCell ref="A3:A4"/>
    <x:mergeCell ref="B3:B4"/>
    <x:mergeCell ref="C3:C4"/>
    <x:mergeCell ref="D3:D4"/>
    <x:mergeCell ref="E3:E4"/>
  </x:mergeCells>
  <x:hyperlinks>
    <x:hyperlink xmlns:r="http://schemas.openxmlformats.org/officeDocument/2006/relationships" ref="A2" r:id="R96746a48fd78465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8.25" customWidth="1"/>
    <x:col min="2" max="2" width="26.6299991607666" customWidth="1"/>
    <x:col min="6" max="6" width="12.630000114440918" customWidth="1"/>
    <x:col min="13" max="13" width="12.630000114440918" customWidth="1"/>
    <x:col min="20" max="20" width="45.5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3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5" t="s">
        <x:v>74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3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7" t="s">
        <x:v>7</x:v>
      </x:c>
      <x:c r="G3" s="8" t="s">
        <x:v>8</x:v>
      </x:c>
      <x:c r="H3" s="6" t="s">
        <x:v>9</x:v>
      </x:c>
      <x:c r="I3" s="8" t="s">
        <x:v>10</x:v>
      </x:c>
      <x:c r="J3" s="9" t="s">
        <x:v>11</x:v>
      </x:c>
      <x:c r="K3" s="2"/>
      <x:c r="L3" s="3"/>
      <x:c r="M3" s="7" t="s">
        <x:v>12</x:v>
      </x:c>
      <x:c r="N3" s="6" t="s">
        <x:v>13</x:v>
      </x:c>
      <x:c r="O3" s="6" t="s">
        <x:v>14</x:v>
      </x:c>
      <x:c r="P3" s="6" t="s">
        <x:v>15</x:v>
      </x:c>
      <x:c r="Q3" s="6" t="s">
        <x:v>16</x:v>
      </x:c>
      <x:c r="R3" s="10" t="s">
        <x:v>17</x:v>
      </x:c>
      <x:c r="S3" s="10" t="s">
        <x:v>18</x:v>
      </x:c>
      <x:c r="T3" s="11" t="s">
        <x:v>19</x:v>
      </x:c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2.5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3" t="s">
        <x:v>20</x:v>
      </x:c>
      <x:c r="K4" s="13" t="s">
        <x:v>21</x:v>
      </x:c>
      <x:c r="L4" s="13" t="s">
        <x:v>22</x:v>
      </x:c>
      <x:c r="M4" s="12"/>
      <x:c r="N4" s="12"/>
      <x:c r="O4" s="12"/>
      <x:c r="P4" s="12"/>
      <x:c r="Q4" s="12"/>
      <x:c r="R4" s="12"/>
      <x:c r="S4" s="12"/>
      <x:c r="T4" s="11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14" t="s">
        <x:v>23</x:v>
      </x:c>
      <x:c r="B5" s="15" t="s">
        <x:v>24</x:v>
      </x:c>
      <x:c r="C5" s="16">
        <x:v>11.0</x:v>
      </x:c>
      <x:c r="D5" s="16">
        <x:v>11.0</x:v>
      </x:c>
      <x:c r="E5" s="16">
        <x:v>0.0</x:v>
      </x:c>
      <x:c r="F5" s="17"/>
      <x:c r="G5" s="16">
        <x:v>480.0</x:v>
      </x:c>
      <x:c r="H5" s="16">
        <x:v>0.0</x:v>
      </x:c>
      <x:c r="I5" s="16">
        <x:v>0.0</x:v>
      </x:c>
      <x:c r="J5" s="18">
        <x:v>46145.0</x:v>
      </x:c>
      <x:c r="K5" s="17">
        <x:v>4.0</x:v>
      </x:c>
      <x:c r="L5" s="14"/>
      <x:c r="M5" s="19"/>
      <x:c r="N5" s="20" t="n">
        <x:f t="shared" ref="N5:N6" si="1">8 * (3181090/6)</x:f>
        <x:v>4241453.333333333</x:v>
      </x:c>
      <x:c r="O5" s="21" t="n">
        <x:f t="shared" ref="O5:O7" si="2">0 * (3181090/6)</x:f>
        <x:v>0</x:v>
      </x:c>
      <x:c r="P5" s="20" t="n">
        <x:f t="shared" ref="P5:P21" si="3">SUM(M5:O5)</x:f>
        <x:v>4241453.333333333</x:v>
      </x:c>
      <x:c r="Q5" s="22">
        <x:v>1.0</x:v>
      </x:c>
      <x:c r="R5" s="23">
        <x:v>1.0</x:v>
      </x:c>
      <x:c r="S5" s="24" t="s">
        <x:v>25</x:v>
      </x:c>
      <x:c r="T5" s="2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14" t="s">
        <x:v>26</x:v>
      </x:c>
      <x:c r="B6" s="15" t="s">
        <x:v>27</x:v>
      </x:c>
      <x:c r="C6" s="16">
        <x:v>6.0</x:v>
      </x:c>
      <x:c r="D6" s="16">
        <x:v>6.0</x:v>
      </x:c>
      <x:c r="E6" s="16">
        <x:v>0.0</x:v>
      </x:c>
      <x:c r="F6" s="17"/>
      <x:c r="G6" s="16">
        <x:v>540.0</x:v>
      </x:c>
      <x:c r="H6" s="16">
        <x:v>0.0</x:v>
      </x:c>
      <x:c r="I6" s="16">
        <x:v>0.0</x:v>
      </x:c>
      <x:c r="J6" s="14">
        <x:v>3.0</x:v>
      </x:c>
      <x:c r="K6" s="17">
        <x:v>4.0</x:v>
      </x:c>
      <x:c r="L6" s="14"/>
      <x:c r="M6" s="19"/>
      <x:c r="N6" s="20">
        <x:f t="shared" si="1"/>
        <x:v>4241453.333</x:v>
      </x:c>
      <x:c r="O6" s="21">
        <x:f t="shared" si="2"/>
        <x:v>0</x:v>
      </x:c>
      <x:c r="P6" s="20">
        <x:f t="shared" si="3"/>
        <x:v>4241453.333</x:v>
      </x:c>
      <x:c r="Q6" s="16" t="s">
        <x:v>28</x:v>
      </x:c>
      <x:c r="R6" s="25" t="s">
        <x:v>29</x:v>
      </x:c>
      <x:c r="S6" s="24" t="s">
        <x:v>25</x:v>
      </x:c>
      <x:c r="T6" s="2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14" t="s">
        <x:v>30</x:v>
      </x:c>
      <x:c r="B7" s="15" t="s">
        <x:v>31</x:v>
      </x:c>
      <x:c r="C7" s="16">
        <x:v>6.0</x:v>
      </x:c>
      <x:c r="D7" s="16">
        <x:v>6.0</x:v>
      </x:c>
      <x:c r="E7" s="16">
        <x:v>0.0</x:v>
      </x:c>
      <x:c r="F7" s="17"/>
      <x:c r="G7" s="16">
        <x:v>600.0</x:v>
      </x:c>
      <x:c r="H7" s="16">
        <x:v>0.0</x:v>
      </x:c>
      <x:c r="I7" s="16">
        <x:v>0.0</x:v>
      </x:c>
      <x:c r="J7" s="14">
        <x:v>3.0</x:v>
      </x:c>
      <x:c r="K7" s="17">
        <x:v>4.0</x:v>
      </x:c>
      <x:c r="L7" s="14"/>
      <x:c r="M7" s="19"/>
      <x:c r="N7" s="20" t="n">
        <x:f>9 * (3181090/6)</x:f>
        <x:v>4771635</x:v>
      </x:c>
      <x:c r="O7" s="21">
        <x:f t="shared" si="2"/>
        <x:v>0</x:v>
      </x:c>
      <x:c r="P7" s="20">
        <x:f t="shared" si="3"/>
        <x:v>4771635</x:v>
      </x:c>
      <x:c r="Q7" s="22">
        <x:v>0.95</x:v>
      </x:c>
      <x:c r="R7" s="25" t="s">
        <x:v>28</x:v>
      </x:c>
      <x:c r="S7" s="24" t="s">
        <x:v>25</x:v>
      </x:c>
      <x:c r="T7" s="2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14" t="s">
        <x:v>32</x:v>
      </x:c>
      <x:c r="B8" s="15" t="s">
        <x:v>33</x:v>
      </x:c>
      <x:c r="C8" s="16">
        <x:v>6.0</x:v>
      </x:c>
      <x:c r="D8" s="16">
        <x:v>5.0</x:v>
      </x:c>
      <x:c r="E8" s="16">
        <x:v>1.0</x:v>
      </x:c>
      <x:c r="F8" s="17"/>
      <x:c r="G8" s="16">
        <x:v>660.0</x:v>
      </x:c>
      <x:c r="H8" s="16">
        <x:v>2.0</x:v>
      </x:c>
      <x:c r="I8" s="16">
        <x:v>360.0</x:v>
      </x:c>
      <x:c r="J8" s="14">
        <x:v>3.0</x:v>
      </x:c>
      <x:c r="K8" s="17">
        <x:v>6.0</x:v>
      </x:c>
      <x:c r="L8" s="14"/>
      <x:c r="M8" s="19"/>
      <x:c r="N8" s="20" t="n">
        <x:f>10 * (3181090/6)</x:f>
        <x:v>5301816.666666666</x:v>
      </x:c>
      <x:c r="O8" s="20" t="n">
        <x:f>4 * (3181090/6)</x:f>
        <x:v>2120726.6666666665</x:v>
      </x:c>
      <x:c r="P8" s="20">
        <x:f t="shared" si="3"/>
        <x:v>7422543.333</x:v>
      </x:c>
      <x:c r="Q8" s="22">
        <x:v>1.0</x:v>
      </x:c>
      <x:c r="R8" s="23">
        <x:v>0.9</x:v>
      </x:c>
      <x:c r="S8" s="24" t="s">
        <x:v>25</x:v>
      </x:c>
      <x:c r="T8" s="2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14" t="s">
        <x:v>34</x:v>
      </x:c>
      <x:c r="B9" s="15" t="s">
        <x:v>35</x:v>
      </x:c>
      <x:c r="C9" s="14">
        <x:v>7.0</x:v>
      </x:c>
      <x:c r="D9" s="14">
        <x:v>6.0</x:v>
      </x:c>
      <x:c r="E9" s="14">
        <x:v>1.0</x:v>
      </x:c>
      <x:c r="F9" s="17"/>
      <x:c r="G9" s="26">
        <x:v>601.0</x:v>
      </x:c>
      <x:c r="H9" s="14">
        <x:v>1.0</x:v>
      </x:c>
      <x:c r="I9" s="14">
        <x:v>213.0</x:v>
      </x:c>
      <x:c r="J9" s="18">
        <x:v>46144.0</x:v>
      </x:c>
      <x:c r="K9" s="17">
        <x:v>3.0</x:v>
      </x:c>
      <x:c r="L9" s="14">
        <x:v>3.0</x:v>
      </x:c>
      <x:c r="M9" s="19"/>
      <x:c r="N9" s="27">
        <x:v>3544856.0</x:v>
      </x:c>
      <x:c r="O9" s="28">
        <x:v>2221175.0</x:v>
      </x:c>
      <x:c r="P9" s="27">
        <x:f t="shared" si="3"/>
        <x:v>5766031</x:v>
      </x:c>
      <x:c r="Q9" s="29">
        <x:v>0.95</x:v>
      </x:c>
      <x:c r="R9" s="30">
        <x:v>1.0</x:v>
      </x:c>
      <x:c r="S9" s="24" t="s">
        <x:v>25</x:v>
      </x:c>
      <x:c r="T9" s="24" t="s">
        <x:v>36</x:v>
      </x:c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14" t="s">
        <x:v>37</x:v>
      </x:c>
      <x:c r="B10" s="15" t="s">
        <x:v>38</x:v>
      </x:c>
      <x:c r="C10" s="14">
        <x:v>9.0</x:v>
      </x:c>
      <x:c r="D10" s="14">
        <x:v>9.0</x:v>
      </x:c>
      <x:c r="E10" s="14">
        <x:v>0.0</x:v>
      </x:c>
      <x:c r="F10" s="17"/>
      <x:c r="G10" s="14">
        <x:v>899.0</x:v>
      </x:c>
      <x:c r="H10" s="14">
        <x:v>0.0</x:v>
      </x:c>
      <x:c r="I10" s="14">
        <x:v>0.0</x:v>
      </x:c>
      <x:c r="J10" s="14">
        <x:v>3.0</x:v>
      </x:c>
      <x:c r="K10" s="17">
        <x:v>3.0</x:v>
      </x:c>
      <x:c r="L10" s="14">
        <x:v>3.0</x:v>
      </x:c>
      <x:c r="M10" s="19"/>
      <x:c r="N10" s="27">
        <x:v>3804064.0</x:v>
      </x:c>
      <x:c r="O10" s="28">
        <x:v>0.0</x:v>
      </x:c>
      <x:c r="P10" s="27">
        <x:f t="shared" si="3"/>
        <x:v>3804064</x:v>
      </x:c>
      <x:c r="Q10" s="29">
        <x:v>0.98</x:v>
      </x:c>
      <x:c r="R10" s="30">
        <x:v>1.0</x:v>
      </x:c>
      <x:c r="S10" s="24" t="s">
        <x:v>25</x:v>
      </x:c>
      <x:c r="T10" s="24" t="s">
        <x:v>39</x:v>
      </x:c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14" t="s">
        <x:v>40</x:v>
      </x:c>
      <x:c r="B11" s="15" t="s">
        <x:v>41</x:v>
      </x:c>
      <x:c r="C11" s="14">
        <x:v>5.0</x:v>
      </x:c>
      <x:c r="D11" s="14">
        <x:v>5.0</x:v>
      </x:c>
      <x:c r="E11" s="14">
        <x:v>0.0</x:v>
      </x:c>
      <x:c r="F11" s="17"/>
      <x:c r="G11" s="14">
        <x:v>432.0</x:v>
      </x:c>
      <x:c r="H11" s="14">
        <x:v>0.0</x:v>
      </x:c>
      <x:c r="I11" s="14">
        <x:v>0.0</x:v>
      </x:c>
      <x:c r="J11" s="18">
        <x:v>46144.0</x:v>
      </x:c>
      <x:c r="K11" s="17">
        <x:v>3.0</x:v>
      </x:c>
      <x:c r="L11" s="14">
        <x:v>3.0</x:v>
      </x:c>
      <x:c r="M11" s="19"/>
      <x:c r="N11" s="27">
        <x:v>1871758.0</x:v>
      </x:c>
      <x:c r="O11" s="28">
        <x:v>0.0</x:v>
      </x:c>
      <x:c r="P11" s="27">
        <x:f t="shared" si="3"/>
        <x:v>1871758</x:v>
      </x:c>
      <x:c r="Q11" s="29">
        <x:v>0.98</x:v>
      </x:c>
      <x:c r="R11" s="30">
        <x:v>1.0</x:v>
      </x:c>
      <x:c r="S11" s="24" t="s">
        <x:v>25</x:v>
      </x:c>
      <x:c r="T11" s="24" t="s">
        <x:v>42</x:v>
      </x:c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14" t="s">
        <x:v>43</x:v>
      </x:c>
      <x:c r="B12" s="15" t="s">
        <x:v>44</x:v>
      </x:c>
      <x:c r="C12" s="14">
        <x:v>9.0</x:v>
      </x:c>
      <x:c r="D12" s="14">
        <x:v>9.0</x:v>
      </x:c>
      <x:c r="E12" s="14">
        <x:v>0.0</x:v>
      </x:c>
      <x:c r="F12" s="17"/>
      <x:c r="G12" s="14">
        <x:v>257.0</x:v>
      </x:c>
      <x:c r="H12" s="14">
        <x:v>0.0</x:v>
      </x:c>
      <x:c r="I12" s="14">
        <x:v>0.0</x:v>
      </x:c>
      <x:c r="J12" s="14">
        <x:v>2.0</x:v>
      </x:c>
      <x:c r="K12" s="17">
        <x:v>2.0</x:v>
      </x:c>
      <x:c r="L12" s="18">
        <x:v>46144.0</x:v>
      </x:c>
      <x:c r="M12" s="19"/>
      <x:c r="N12" s="27">
        <x:v>1405563.0</x:v>
      </x:c>
      <x:c r="O12" s="28">
        <x:v>0.0</x:v>
      </x:c>
      <x:c r="P12" s="27">
        <x:f t="shared" si="3"/>
        <x:v>1405563</x:v>
      </x:c>
      <x:c r="Q12" s="29">
        <x:v>0.98</x:v>
      </x:c>
      <x:c r="R12" s="30">
        <x:v>1.0</x:v>
      </x:c>
      <x:c r="S12" s="24" t="s">
        <x:v>25</x:v>
      </x:c>
      <x:c r="T12" s="24" t="s">
        <x:v>45</x:v>
      </x:c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14" t="s">
        <x:v>46</x:v>
      </x:c>
      <x:c r="B13" s="15" t="s">
        <x:v>47</x:v>
      </x:c>
      <x:c r="C13" s="14">
        <x:v>9.0</x:v>
      </x:c>
      <x:c r="D13" s="14">
        <x:v>9.0</x:v>
      </x:c>
      <x:c r="E13" s="14">
        <x:v>0.0</x:v>
      </x:c>
      <x:c r="F13" s="17"/>
      <x:c r="G13" s="14">
        <x:v>390.0</x:v>
      </x:c>
      <x:c r="H13" s="14">
        <x:v>0.0</x:v>
      </x:c>
      <x:c r="I13" s="14">
        <x:v>0.0</x:v>
      </x:c>
      <x:c r="J13" s="14">
        <x:v>2.0</x:v>
      </x:c>
      <x:c r="K13" s="17">
        <x:v>2.0</x:v>
      </x:c>
      <x:c r="L13" s="18">
        <x:v>46144.0</x:v>
      </x:c>
      <x:c r="M13" s="19"/>
      <x:c r="N13" s="27">
        <x:v>2489175.0</x:v>
      </x:c>
      <x:c r="O13" s="28">
        <x:v>0.0</x:v>
      </x:c>
      <x:c r="P13" s="27">
        <x:f t="shared" si="3"/>
        <x:v>2489175</x:v>
      </x:c>
      <x:c r="Q13" s="29">
        <x:v>0.98</x:v>
      </x:c>
      <x:c r="R13" s="30">
        <x:v>1.0</x:v>
      </x:c>
      <x:c r="S13" s="24" t="s">
        <x:v>25</x:v>
      </x:c>
      <x:c r="T13" s="24" t="s">
        <x:v>48</x:v>
      </x:c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14" t="s">
        <x:v>49</x:v>
      </x:c>
      <x:c r="B14" s="15" t="s">
        <x:v>50</x:v>
      </x:c>
      <x:c r="C14" s="14">
        <x:v>3.0</x:v>
      </x:c>
      <x:c r="D14" s="14">
        <x:v>3.0</x:v>
      </x:c>
      <x:c r="E14" s="14">
        <x:v>0.0</x:v>
      </x:c>
      <x:c r="F14" s="17"/>
      <x:c r="G14" s="14">
        <x:v>456.0</x:v>
      </x:c>
      <x:c r="H14" s="14">
        <x:v>1.0</x:v>
      </x:c>
      <x:c r="I14" s="14">
        <x:v>187.0</x:v>
      </x:c>
      <x:c r="J14" s="18">
        <x:v>46143.0</x:v>
      </x:c>
      <x:c r="K14" s="17">
        <x:v>2.0</x:v>
      </x:c>
      <x:c r="L14" s="14">
        <x:v>2.0</x:v>
      </x:c>
      <x:c r="M14" s="19"/>
      <x:c r="N14" s="27">
        <x:v>2889732.0</x:v>
      </x:c>
      <x:c r="O14" s="27">
        <x:v>1767457.0</x:v>
      </x:c>
      <x:c r="P14" s="27">
        <x:f t="shared" si="3"/>
        <x:v>4657189</x:v>
      </x:c>
      <x:c r="Q14" s="29">
        <x:v>0.98</x:v>
      </x:c>
      <x:c r="R14" s="30">
        <x:v>1.0</x:v>
      </x:c>
      <x:c r="S14" s="24" t="s">
        <x:v>25</x:v>
      </x:c>
      <x:c r="T14" s="24" t="s">
        <x:v>51</x:v>
      </x:c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14" t="s">
        <x:v>52</x:v>
      </x:c>
      <x:c r="B15" s="15" t="s">
        <x:v>53</x:v>
      </x:c>
      <x:c r="C15" s="14">
        <x:v>3.0</x:v>
      </x:c>
      <x:c r="D15" s="14">
        <x:v>6.0</x:v>
      </x:c>
      <x:c r="E15" s="14">
        <x:v>0.0</x:v>
      </x:c>
      <x:c r="F15" s="17"/>
      <x:c r="G15" s="14">
        <x:v>382.0</x:v>
      </x:c>
      <x:c r="H15" s="14">
        <x:v>0.0</x:v>
      </x:c>
      <x:c r="I15" s="14">
        <x:v>0.0</x:v>
      </x:c>
      <x:c r="J15" s="14">
        <x:v>3.0</x:v>
      </x:c>
      <x:c r="K15" s="17">
        <x:v>3.0</x:v>
      </x:c>
      <x:c r="L15" s="14"/>
      <x:c r="M15" s="19"/>
      <x:c r="N15" s="27">
        <x:v>1589034.0</x:v>
      </x:c>
      <x:c r="O15" s="28">
        <x:v>0.0</x:v>
      </x:c>
      <x:c r="P15" s="27">
        <x:f t="shared" si="3"/>
        <x:v>1589034</x:v>
      </x:c>
      <x:c r="Q15" s="29">
        <x:v>0.9</x:v>
      </x:c>
      <x:c r="R15" s="30">
        <x:v>1.0</x:v>
      </x:c>
      <x:c r="S15" s="24" t="s">
        <x:v>25</x:v>
      </x:c>
      <x:c r="T15" s="24" t="s">
        <x:v>54</x:v>
      </x:c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14" t="s">
        <x:v>55</x:v>
      </x:c>
      <x:c r="B16" s="15" t="s">
        <x:v>56</x:v>
      </x:c>
      <x:c r="C16" s="14">
        <x:v>9.0</x:v>
      </x:c>
      <x:c r="D16" s="14">
        <x:v>8.0</x:v>
      </x:c>
      <x:c r="E16" s="14">
        <x:v>1.0</x:v>
      </x:c>
      <x:c r="F16" s="17"/>
      <x:c r="G16" s="14">
        <x:v>503.0</x:v>
      </x:c>
      <x:c r="H16" s="14">
        <x:v>2.0</x:v>
      </x:c>
      <x:c r="I16" s="14">
        <x:v>358.0</x:v>
      </x:c>
      <x:c r="J16" s="18">
        <x:v>46146.0</x:v>
      </x:c>
      <x:c r="K16" s="17">
        <x:v>3.0</x:v>
      </x:c>
      <x:c r="L16" s="14"/>
      <x:c r="M16" s="19"/>
      <x:c r="N16" s="27">
        <x:v>2413518.0</x:v>
      </x:c>
      <x:c r="O16" s="28" t="n">
        <x:f>1933302+1025191</x:f>
        <x:v>2958493</x:v>
      </x:c>
      <x:c r="P16" s="27">
        <x:f t="shared" si="3"/>
        <x:v>5372011</x:v>
      </x:c>
      <x:c r="Q16" s="29">
        <x:v>0.9</x:v>
      </x:c>
      <x:c r="R16" s="30">
        <x:v>1.0</x:v>
      </x:c>
      <x:c r="S16" s="24" t="s">
        <x:v>57</x:v>
      </x:c>
      <x:c r="T16" s="24" t="s">
        <x:v>58</x:v>
      </x:c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14" t="s">
        <x:v>59</x:v>
      </x:c>
      <x:c r="B17" s="15" t="s">
        <x:v>60</x:v>
      </x:c>
      <x:c r="C17" s="14">
        <x:v>7.0</x:v>
      </x:c>
      <x:c r="D17" s="14">
        <x:v>7.0</x:v>
      </x:c>
      <x:c r="E17" s="14">
        <x:v>0.0</x:v>
      </x:c>
      <x:c r="F17" s="17"/>
      <x:c r="G17" s="14">
        <x:v>662.0</x:v>
      </x:c>
      <x:c r="H17" s="14">
        <x:v>0.0</x:v>
      </x:c>
      <x:c r="I17" s="14">
        <x:v>0.0</x:v>
      </x:c>
      <x:c r="J17" s="14">
        <x:v>3.0</x:v>
      </x:c>
      <x:c r="K17" s="17">
        <x:v>2.0</x:v>
      </x:c>
      <x:c r="L17" s="14"/>
      <x:c r="M17" s="19"/>
      <x:c r="N17" s="27">
        <x:v>4609215.0</x:v>
      </x:c>
      <x:c r="O17" s="28">
        <x:v>0.0</x:v>
      </x:c>
      <x:c r="P17" s="27">
        <x:f t="shared" si="3"/>
        <x:v>4609215</x:v>
      </x:c>
      <x:c r="Q17" s="29">
        <x:v>0.9</x:v>
      </x:c>
      <x:c r="R17" s="30">
        <x:v>1.0</x:v>
      </x:c>
      <x:c r="S17" s="24" t="s">
        <x:v>57</x:v>
      </x:c>
      <x:c r="T17" s="24" t="s">
        <x:v>61</x:v>
      </x:c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14" t="s">
        <x:v>62</x:v>
      </x:c>
      <x:c r="B18" s="15" t="s">
        <x:v>63</x:v>
      </x:c>
      <x:c r="C18" s="14">
        <x:v>3.0</x:v>
      </x:c>
      <x:c r="D18" s="14">
        <x:v>3.0</x:v>
      </x:c>
      <x:c r="E18" s="14">
        <x:v>0.0</x:v>
      </x:c>
      <x:c r="F18" s="17"/>
      <x:c r="G18" s="14">
        <x:v>583.0</x:v>
      </x:c>
      <x:c r="H18" s="14">
        <x:v>0.0</x:v>
      </x:c>
      <x:c r="I18" s="14">
        <x:v>0.0</x:v>
      </x:c>
      <x:c r="J18" s="14">
        <x:v>2.0</x:v>
      </x:c>
      <x:c r="K18" s="17">
        <x:v>2.0</x:v>
      </x:c>
      <x:c r="L18" s="14"/>
      <x:c r="M18" s="19"/>
      <x:c r="N18" s="27">
        <x:v>1592913.0</x:v>
      </x:c>
      <x:c r="O18" s="27">
        <x:v>0.0</x:v>
      </x:c>
      <x:c r="P18" s="27">
        <x:f t="shared" si="3"/>
        <x:v>1592913</x:v>
      </x:c>
      <x:c r="Q18" s="29">
        <x:v>0.95</x:v>
      </x:c>
      <x:c r="R18" s="30">
        <x:v>1.0</x:v>
      </x:c>
      <x:c r="S18" s="24" t="s">
        <x:v>25</x:v>
      </x:c>
      <x:c r="T18" s="24" t="s">
        <x:v>64</x:v>
      </x:c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14" t="s">
        <x:v>65</x:v>
      </x:c>
      <x:c r="B19" s="15" t="s">
        <x:v>66</x:v>
      </x:c>
      <x:c r="C19" s="14">
        <x:v>8.0</x:v>
      </x:c>
      <x:c r="D19" s="14">
        <x:v>8.0</x:v>
      </x:c>
      <x:c r="E19" s="14">
        <x:v>0.0</x:v>
      </x:c>
      <x:c r="F19" s="17"/>
      <x:c r="G19" s="14">
        <x:v>577.0</x:v>
      </x:c>
      <x:c r="H19" s="14">
        <x:v>0.0</x:v>
      </x:c>
      <x:c r="I19" s="14">
        <x:v>0.0</x:v>
      </x:c>
      <x:c r="J19" s="14">
        <x:v>4.0</x:v>
      </x:c>
      <x:c r="K19" s="17">
        <x:v>3.0</x:v>
      </x:c>
      <x:c r="L19" s="14"/>
      <x:c r="M19" s="19"/>
      <x:c r="N19" s="27">
        <x:v>3543132.0</x:v>
      </x:c>
      <x:c r="O19" s="27">
        <x:v>0.0</x:v>
      </x:c>
      <x:c r="P19" s="27">
        <x:f t="shared" si="3"/>
        <x:v>3543132</x:v>
      </x:c>
      <x:c r="Q19" s="29">
        <x:v>0.9</x:v>
      </x:c>
      <x:c r="R19" s="30">
        <x:v>1.0</x:v>
      </x:c>
      <x:c r="S19" s="24" t="s">
        <x:v>57</x:v>
      </x:c>
      <x:c r="T19" s="24" t="s">
        <x:v>67</x:v>
      </x:c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14" t="s">
        <x:v>68</x:v>
      </x:c>
      <x:c r="B20" s="15" t="s">
        <x:v>69</x:v>
      </x:c>
      <x:c r="C20" s="14">
        <x:v>5.0</x:v>
      </x:c>
      <x:c r="D20" s="14">
        <x:v>5.0</x:v>
      </x:c>
      <x:c r="E20" s="14">
        <x:v>0.0</x:v>
      </x:c>
      <x:c r="F20" s="17"/>
      <x:c r="G20" s="14">
        <x:v>600.0</x:v>
      </x:c>
      <x:c r="H20" s="14">
        <x:v>0.0</x:v>
      </x:c>
      <x:c r="I20" s="14">
        <x:v>0.0</x:v>
      </x:c>
      <x:c r="J20" s="14">
        <x:v>4.0</x:v>
      </x:c>
      <x:c r="K20" s="17">
        <x:v>3.0</x:v>
      </x:c>
      <x:c r="L20" s="14"/>
      <x:c r="M20" s="19"/>
      <x:c r="N20" s="27">
        <x:v>2435784.0</x:v>
      </x:c>
      <x:c r="O20" s="27">
        <x:v>0.0</x:v>
      </x:c>
      <x:c r="P20" s="27">
        <x:f t="shared" si="3"/>
        <x:v>2435784</x:v>
      </x:c>
      <x:c r="Q20" s="29">
        <x:v>1.0</x:v>
      </x:c>
      <x:c r="R20" s="30">
        <x:v>1.0</x:v>
      </x:c>
      <x:c r="S20" s="24" t="s">
        <x:v>25</x:v>
      </x:c>
      <x:c r="T20" s="24" t="s">
        <x:v>70</x:v>
      </x:c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31" t="s">
        <x:v>71</x:v>
      </x:c>
      <x:c r="B21" s="24" t="s">
        <x:v>72</x:v>
      </x:c>
      <x:c r="C21" s="31">
        <x:v>9.0</x:v>
      </x:c>
      <x:c r="D21" s="31">
        <x:v>9.0</x:v>
      </x:c>
      <x:c r="E21" s="31">
        <x:v>0.0</x:v>
      </x:c>
      <x:c r="F21" s="17"/>
      <x:c r="G21" s="31">
        <x:v>352.0</x:v>
      </x:c>
      <x:c r="H21" s="31">
        <x:v>1.0</x:v>
      </x:c>
      <x:c r="I21" s="31">
        <x:v>111.0</x:v>
      </x:c>
      <x:c r="J21" s="31">
        <x:v>3.0</x:v>
      </x:c>
      <x:c r="K21" s="17">
        <x:v>3.0</x:v>
      </x:c>
      <x:c r="L21" s="31"/>
      <x:c r="M21" s="19"/>
      <x:c r="N21" s="28">
        <x:v>2104735.0</x:v>
      </x:c>
      <x:c r="O21" s="28">
        <x:v>1517141.0</x:v>
      </x:c>
      <x:c r="P21" s="27">
        <x:f t="shared" si="3"/>
        <x:v>3621876</x:v>
      </x:c>
      <x:c r="Q21" s="30">
        <x:v>0.8</x:v>
      </x:c>
      <x:c r="R21" s="30">
        <x:v>1.0</x:v>
      </x:c>
      <x:c r="S21" s="24" t="s">
        <x:v>57</x:v>
      </x:c>
      <x:c r="T21" s="24" t="s">
        <x:v>73</x:v>
      </x:c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  <x:c r="AC466" s="4"/>
      <x:c r="AD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  <x:c r="AC508" s="4"/>
      <x:c r="AD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  <x:c r="AC509" s="4"/>
      <x:c r="AD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  <x:c r="AC510" s="4"/>
      <x:c r="AD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  <x:c r="AC511" s="4"/>
      <x:c r="AD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  <x:c r="AC512" s="4"/>
      <x:c r="AD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  <x:c r="AC513" s="4"/>
      <x:c r="AD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  <x:c r="AC514" s="4"/>
      <x:c r="AD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  <x:c r="AC515" s="4"/>
      <x:c r="AD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  <x:c r="AC516" s="4"/>
      <x:c r="AD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  <x:c r="AC517" s="4"/>
      <x:c r="AD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  <x:c r="AC518" s="4"/>
      <x:c r="AD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  <x:c r="AC519" s="4"/>
      <x:c r="AD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  <x:c r="AC520" s="4"/>
      <x:c r="AD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  <x:c r="AC521" s="4"/>
      <x:c r="AD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  <x:c r="AC522" s="4"/>
      <x:c r="AD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  <x:c r="AC523" s="4"/>
      <x:c r="AD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  <x:c r="AC524" s="4"/>
      <x:c r="AD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  <x:c r="AB525" s="4"/>
      <x:c r="AC525" s="4"/>
      <x:c r="AD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  <x:c r="AB526" s="4"/>
      <x:c r="AC526" s="4"/>
      <x:c r="AD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  <x:c r="AC527" s="4"/>
      <x:c r="AD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  <x:c r="AC528" s="4"/>
      <x:c r="AD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  <x:c r="AC529" s="4"/>
      <x:c r="AD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  <x:c r="AC530" s="4"/>
      <x:c r="AD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  <x:c r="AC531" s="4"/>
      <x:c r="AD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  <x:c r="AC532" s="4"/>
      <x:c r="AD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  <x:c r="AC533" s="4"/>
      <x:c r="AD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  <x:c r="AC534" s="4"/>
      <x:c r="AD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  <x:c r="AC535" s="4"/>
      <x:c r="AD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  <x:c r="AC536" s="4"/>
      <x:c r="AD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  <x:c r="AC537" s="4"/>
      <x:c r="AD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  <x:c r="AC538" s="4"/>
      <x:c r="AD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  <x:c r="AC539" s="4"/>
      <x:c r="AD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  <x:c r="AC540" s="4"/>
      <x:c r="AD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  <x:c r="AC541" s="4"/>
      <x:c r="AD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  <x:c r="AC542" s="4"/>
      <x:c r="AD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  <x:c r="AC543" s="4"/>
      <x:c r="AD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  <x:c r="AC597" s="4"/>
      <x:c r="AD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  <x:c r="AC598" s="4"/>
      <x:c r="AD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  <x:c r="AC599" s="4"/>
      <x:c r="AD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  <x:c r="AC600" s="4"/>
      <x:c r="AD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  <x:c r="AC601" s="4"/>
      <x:c r="AD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  <x:c r="AC602" s="4"/>
      <x:c r="AD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  <x:c r="AC603" s="4"/>
      <x:c r="AD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  <x:c r="AC604" s="4"/>
      <x:c r="AD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  <x:c r="AC605" s="4"/>
      <x:c r="AD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  <x:c r="AC606" s="4"/>
      <x:c r="AD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  <x:c r="AC607" s="4"/>
      <x:c r="AD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  <x:c r="AC608" s="4"/>
      <x:c r="AD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  <x:c r="AC609" s="4"/>
      <x:c r="AD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  <x:c r="AC610" s="4"/>
      <x:c r="AD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  <x:c r="AC611" s="4"/>
      <x:c r="AD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  <x:c r="AC612" s="4"/>
      <x:c r="AD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  <x:c r="AC613" s="4"/>
      <x:c r="AD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  <x:c r="AB614" s="4"/>
      <x:c r="AC614" s="4"/>
      <x:c r="AD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  <x:c r="AB615" s="4"/>
      <x:c r="AC615" s="4"/>
      <x:c r="AD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  <x:c r="AC616" s="4"/>
      <x:c r="AD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  <x:c r="AC617" s="4"/>
      <x:c r="AD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  <x:c r="AC618" s="4"/>
      <x:c r="AD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  <x:c r="AC619" s="4"/>
      <x:c r="AD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  <x:c r="AC620" s="4"/>
      <x:c r="AD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  <x:c r="AC621" s="4"/>
      <x:c r="AD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  <x:c r="AC622" s="4"/>
      <x:c r="AD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  <x:c r="AC623" s="4"/>
      <x:c r="AD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  <x:c r="AC624" s="4"/>
      <x:c r="AD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  <x:c r="AC625" s="4"/>
      <x:c r="AD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  <x:c r="AC626" s="4"/>
      <x:c r="AD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  <x:c r="AC627" s="4"/>
      <x:c r="AD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  <x:c r="AC628" s="4"/>
      <x:c r="AD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  <x:c r="AC629" s="4"/>
      <x:c r="AD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  <x:c r="AC630" s="4"/>
      <x:c r="AD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  <x:c r="AC631" s="4"/>
      <x:c r="AD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  <x:c r="AC632" s="4"/>
      <x:c r="AD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  <x:c r="AC720" s="4"/>
      <x:c r="AD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  <x:c r="AC721" s="4"/>
      <x:c r="AD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  <x:c r="AC722" s="4"/>
      <x:c r="AD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  <x:c r="AC723" s="4"/>
      <x:c r="AD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  <x:c r="AC724" s="4"/>
      <x:c r="AD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  <x:c r="AC725" s="4"/>
      <x:c r="AD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  <x:c r="AC726" s="4"/>
      <x:c r="AD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  <x:c r="AC727" s="4"/>
      <x:c r="AD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  <x:c r="AC728" s="4"/>
      <x:c r="AD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  <x:c r="AC729" s="4"/>
      <x:c r="AD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  <x:c r="AC730" s="4"/>
      <x:c r="AD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  <x:c r="AC731" s="4"/>
      <x:c r="AD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  <x:c r="AC732" s="4"/>
      <x:c r="AD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  <x:c r="AC733" s="4"/>
      <x:c r="AD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  <x:c r="AC734" s="4"/>
      <x:c r="AD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  <x:c r="AC735" s="4"/>
      <x:c r="AD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  <x:c r="AC736" s="4"/>
      <x:c r="AD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  <x:c r="AB737" s="4"/>
      <x:c r="AC737" s="4"/>
      <x:c r="AD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  <x:c r="AB738" s="4"/>
      <x:c r="AC738" s="4"/>
      <x:c r="AD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  <x:c r="AB739" s="4"/>
      <x:c r="AC739" s="4"/>
      <x:c r="AD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  <x:c r="AB740" s="4"/>
      <x:c r="AC740" s="4"/>
      <x:c r="AD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  <x:c r="AB741" s="4"/>
      <x:c r="AC741" s="4"/>
      <x:c r="AD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  <x:c r="AB742" s="4"/>
      <x:c r="AC742" s="4"/>
      <x:c r="AD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  <x:c r="AB743" s="4"/>
      <x:c r="AC743" s="4"/>
      <x:c r="AD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  <x:c r="AB744" s="4"/>
      <x:c r="AC744" s="4"/>
      <x:c r="AD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  <x:c r="AC745" s="4"/>
      <x:c r="AD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  <x:c r="AC746" s="4"/>
      <x:c r="AD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  <x:c r="AC747" s="4"/>
      <x:c r="AD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  <x:c r="AC748" s="4"/>
      <x:c r="AD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  <x:c r="AC749" s="4"/>
      <x:c r="AD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  <x:c r="AC750" s="4"/>
      <x:c r="AD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  <x:c r="AC751" s="4"/>
      <x:c r="AD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  <x:c r="AC752" s="4"/>
      <x:c r="AD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  <x:c r="AC753" s="4"/>
      <x:c r="AD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  <x:c r="AC754" s="4"/>
      <x:c r="AD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  <x:c r="AC755" s="4"/>
      <x:c r="AD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  <x:c r="AC756" s="4"/>
      <x:c r="AD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  <x:c r="AC757" s="4"/>
      <x:c r="AD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  <x:c r="AC758" s="4"/>
      <x:c r="AD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  <x:c r="AC759" s="4"/>
      <x:c r="AD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  <x:c r="AC760" s="4"/>
      <x:c r="AD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  <x:c r="AC761" s="4"/>
      <x:c r="AD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  <x:c r="AC838" s="4"/>
      <x:c r="AD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  <x:c r="AC839" s="4"/>
      <x:c r="AD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  <x:c r="AC840" s="4"/>
      <x:c r="AD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  <x:c r="AC852" s="4"/>
      <x:c r="AD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  <x:c r="AC853" s="4"/>
      <x:c r="AD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  <x:c r="AC854" s="4"/>
      <x:c r="AD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  <x:c r="AC855" s="4"/>
      <x:c r="AD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  <x:c r="AC856" s="4"/>
      <x:c r="AD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  <x:c r="AC857" s="4"/>
      <x:c r="AD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  <x:c r="AC858" s="4"/>
      <x:c r="AD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  <x:c r="AC859" s="4"/>
      <x:c r="AD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  <x:c r="AC860" s="4"/>
      <x:c r="AD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  <x:c r="AC861" s="4"/>
      <x:c r="AD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  <x:c r="AC862" s="4"/>
      <x:c r="AD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  <x:c r="AC864" s="4"/>
      <x:c r="AD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  <x:c r="AC865" s="4"/>
      <x:c r="AD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  <x:c r="AC866" s="4"/>
      <x:c r="AD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  <x:c r="AC867" s="4"/>
      <x:c r="AD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  <x:c r="AC868" s="4"/>
      <x:c r="AD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  <x:c r="AC869" s="4"/>
      <x:c r="AD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  <x:c r="AC870" s="4"/>
      <x:c r="AD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  <x:c r="AC871" s="4"/>
      <x:c r="AD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  <x:c r="AC872" s="4"/>
      <x:c r="AD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  <x:c r="AC873" s="4"/>
      <x:c r="AD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  <x:c r="AC874" s="4"/>
      <x:c r="AD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  <x:c r="AC875" s="4"/>
      <x:c r="AD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  <x:c r="AC876" s="4"/>
      <x:c r="AD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  <x:c r="AC877" s="4"/>
      <x:c r="AD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  <x:c r="AC878" s="4"/>
      <x:c r="AD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  <x:c r="AC879" s="4"/>
      <x:c r="AD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  <x:c r="AC880" s="4"/>
      <x:c r="AD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  <x:c r="AC881" s="4"/>
      <x:c r="AD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  <x:c r="AC916" s="4"/>
      <x:c r="AD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  <x:c r="AC917" s="4"/>
      <x:c r="AD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  <x:c r="AC918" s="4"/>
      <x:c r="AD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  <x:c r="AC930" s="4"/>
      <x:c r="AD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  <x:c r="AC931" s="4"/>
      <x:c r="AD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  <x:c r="AC932" s="4"/>
      <x:c r="AD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  <x:c r="AC933" s="4"/>
      <x:c r="AD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  <x:c r="AC934" s="4"/>
      <x:c r="AD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  <x:c r="AC935" s="4"/>
      <x:c r="AD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  <x:c r="AC936" s="4"/>
      <x:c r="AD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  <x:c r="AC937" s="4"/>
      <x:c r="AD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  <x:c r="AC938" s="4"/>
      <x:c r="AD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  <x:c r="AC939" s="4"/>
      <x:c r="AD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  <x:c r="AC940" s="4"/>
      <x:c r="AD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  <x:c r="AC942" s="4"/>
      <x:c r="AD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  <x:c r="AC943" s="4"/>
      <x:c r="AD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  <x:c r="AC944" s="4"/>
      <x:c r="AD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  <x:c r="AC945" s="4"/>
      <x:c r="AD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  <x:c r="AC946" s="4"/>
      <x:c r="AD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  <x:c r="AC947" s="4"/>
      <x:c r="AD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  <x:c r="AC948" s="4"/>
      <x:c r="AD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  <x:c r="AC949" s="4"/>
      <x:c r="AD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  <x:c r="AC950" s="4"/>
      <x:c r="AD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  <x:c r="AC951" s="4"/>
      <x:c r="AD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  <x:c r="AC952" s="4"/>
      <x:c r="AD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  <x:c r="AC953" s="4"/>
      <x:c r="AD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  <x:c r="AC954" s="4"/>
      <x:c r="AD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  <x:c r="AC955" s="4"/>
      <x:c r="AD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  <x:c r="AC956" s="4"/>
      <x:c r="AD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  <x:c r="AC957" s="4"/>
      <x:c r="AD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  <x:c r="AB958" s="4"/>
      <x:c r="AC958" s="4"/>
      <x:c r="AD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  <x:c r="AB959" s="4"/>
      <x:c r="AC959" s="4"/>
      <x:c r="AD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  <x:c r="AC960" s="4"/>
      <x:c r="AD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  <x:c r="AC961" s="4"/>
      <x:c r="AD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  <x:c r="AC962" s="4"/>
      <x:c r="AD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  <x:c r="AC963" s="4"/>
      <x:c r="AD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  <x:c r="AC964" s="4"/>
      <x:c r="AD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  <x:c r="AC965" s="4"/>
      <x:c r="AD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  <x:c r="AC966" s="4"/>
      <x:c r="AD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  <x:c r="AC967" s="4"/>
      <x:c r="AD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  <x:c r="AC968" s="4"/>
      <x:c r="AD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  <x:c r="AC969" s="4"/>
      <x:c r="AD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  <x:c r="AC970" s="4"/>
      <x:c r="AD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  <x:c r="AC971" s="4"/>
      <x:c r="AD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  <x:c r="AC972" s="4"/>
      <x:c r="AD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  <x:c r="AC973" s="4"/>
      <x:c r="AD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  <x:c r="AC974" s="4"/>
      <x:c r="AD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  <x:c r="AC975" s="4"/>
      <x:c r="AD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  <x:c r="AC976" s="4"/>
      <x:c r="AD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  <x:c r="AC977" s="4"/>
      <x:c r="AD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  <x:c r="AC978" s="4"/>
      <x:c r="AD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  <x:c r="AC979" s="4"/>
      <x:c r="AD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  <x:c r="AC980" s="4"/>
      <x:c r="AD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  <x:c r="AC981" s="4"/>
      <x:c r="AD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  <x:c r="AC982" s="4"/>
      <x:c r="AD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  <x:c r="AC983" s="4"/>
      <x:c r="AD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  <x:c r="AC984" s="4"/>
      <x:c r="AD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  <x:c r="AC985" s="4"/>
      <x:c r="AD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  <x:c r="AC986" s="4"/>
      <x:c r="AD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  <x:c r="AC987" s="4"/>
      <x:c r="AD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  <x:c r="AC988" s="4"/>
      <x:c r="AD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  <x:c r="AC989" s="4"/>
      <x:c r="AD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  <x:c r="AC990" s="4"/>
      <x:c r="AD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  <x:c r="AC991" s="4"/>
      <x:c r="AD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  <x:c r="AC992" s="4"/>
      <x:c r="AD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  <x:c r="AC993" s="4"/>
      <x:c r="AD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  <x:c r="AC994" s="4"/>
      <x:c r="AD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  <x:c r="AC995" s="4"/>
      <x:c r="AD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  <x:c r="AC996" s="4"/>
      <x:c r="AD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  <x:c r="AC997" s="4"/>
      <x:c r="AD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  <x:c r="AC998" s="4"/>
      <x:c r="AD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  <x:c r="AB999" s="4"/>
      <x:c r="AC999" s="4"/>
      <x:c r="AD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  <x:c r="AB1000" s="4"/>
      <x:c r="AC1000" s="4"/>
      <x:c r="AD1000" s="4"/>
    </x:row>
    <x:row r="1001">
      <x:c r="A1001" s="4"/>
      <x:c r="B1001" s="4"/>
      <x:c r="C1001" s="4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  <x:c r="Z1001" s="4"/>
      <x:c r="AA1001" s="4"/>
      <x:c r="AB1001" s="4"/>
      <x:c r="AC1001" s="4"/>
      <x:c r="AD1001" s="4"/>
    </x:row>
    <x:row r="1002">
      <x:c r="A1002" s="4"/>
      <x:c r="B1002" s="4"/>
      <x:c r="C1002" s="4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  <x:c r="Z1002" s="4"/>
      <x:c r="AA1002" s="4"/>
      <x:c r="AB1002" s="4"/>
      <x:c r="AC1002" s="4"/>
      <x:c r="AD1002" s="4"/>
    </x:row>
    <x:row r="1003">
      <x:c r="A1003" s="4"/>
      <x:c r="B1003" s="4"/>
      <x:c r="C1003" s="4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  <x:c r="Z1003" s="4"/>
      <x:c r="AA1003" s="4"/>
      <x:c r="AB1003" s="4"/>
      <x:c r="AC1003" s="4"/>
      <x:c r="AD1003" s="4"/>
    </x:row>
    <x:row r="1004">
      <x:c r="A1004" s="4"/>
      <x:c r="B1004" s="4"/>
      <x:c r="C1004" s="4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  <x:c r="Z1004" s="4"/>
      <x:c r="AA1004" s="4"/>
      <x:c r="AB1004" s="4"/>
      <x:c r="AC1004" s="4"/>
      <x:c r="AD1004" s="4"/>
    </x:row>
    <x:row r="1005">
      <x:c r="A1005" s="4"/>
      <x:c r="B1005" s="4"/>
      <x:c r="C1005" s="4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  <x:c r="Z1005" s="4"/>
      <x:c r="AA1005" s="4"/>
      <x:c r="AB1005" s="4"/>
      <x:c r="AC1005" s="4"/>
      <x:c r="AD1005" s="4"/>
    </x:row>
    <x:row r="1006">
      <x:c r="A1006" s="4"/>
      <x:c r="B1006" s="4"/>
      <x:c r="C1006" s="4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  <x:c r="Z1006" s="4"/>
      <x:c r="AA1006" s="4"/>
      <x:c r="AB1006" s="4"/>
      <x:c r="AC1006" s="4"/>
      <x:c r="AD1006" s="4"/>
    </x:row>
    <x:row r="1007">
      <x:c r="A1007" s="4"/>
      <x:c r="B1007" s="4"/>
      <x:c r="C1007" s="4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  <x:c r="Z1007" s="4"/>
      <x:c r="AA1007" s="4"/>
      <x:c r="AB1007" s="4"/>
      <x:c r="AC1007" s="4"/>
      <x:c r="AD1007" s="4"/>
    </x:row>
    <x:row r="1008">
      <x:c r="A1008" s="4"/>
      <x:c r="B1008" s="4"/>
      <x:c r="C1008" s="4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  <x:c r="Z1008" s="4"/>
      <x:c r="AA1008" s="4"/>
      <x:c r="AB1008" s="4"/>
      <x:c r="AC1008" s="4"/>
      <x:c r="AD1008" s="4"/>
    </x:row>
    <x:row r="1009">
      <x:c r="A1009" s="4"/>
      <x:c r="B1009" s="4"/>
      <x:c r="C1009" s="4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  <x:c r="Z1009" s="4"/>
      <x:c r="AA1009" s="4"/>
      <x:c r="AB1009" s="4"/>
      <x:c r="AC1009" s="4"/>
      <x:c r="AD1009" s="4"/>
    </x:row>
    <x:row r="1010">
      <x:c r="A1010" s="4"/>
      <x:c r="B1010" s="4"/>
      <x:c r="C1010" s="4"/>
      <x:c r="D1010" s="4"/>
      <x:c r="E1010" s="4"/>
      <x:c r="F1010" s="4"/>
      <x:c r="G1010" s="4"/>
      <x:c r="H1010" s="4"/>
      <x:c r="I1010" s="4"/>
      <x:c r="J1010" s="4"/>
      <x:c r="K1010" s="4"/>
      <x:c r="L1010" s="4"/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4"/>
      <x:c r="W1010" s="4"/>
      <x:c r="X1010" s="4"/>
      <x:c r="Y1010" s="4"/>
      <x:c r="Z1010" s="4"/>
      <x:c r="AA1010" s="4"/>
      <x:c r="AB1010" s="4"/>
      <x:c r="AC1010" s="4"/>
      <x:c r="AD1010" s="4"/>
    </x:row>
    <x:row r="1011">
      <x:c r="A1011" s="4"/>
      <x:c r="B1011" s="4"/>
      <x:c r="C1011" s="4"/>
      <x:c r="D1011" s="4"/>
      <x:c r="E1011" s="4"/>
      <x:c r="F1011" s="4"/>
      <x:c r="G1011" s="4"/>
      <x:c r="H1011" s="4"/>
      <x:c r="I1011" s="4"/>
      <x:c r="J1011" s="4"/>
      <x:c r="K1011" s="4"/>
      <x:c r="L1011" s="4"/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4"/>
      <x:c r="W1011" s="4"/>
      <x:c r="X1011" s="4"/>
      <x:c r="Y1011" s="4"/>
      <x:c r="Z1011" s="4"/>
      <x:c r="AA1011" s="4"/>
      <x:c r="AB1011" s="4"/>
      <x:c r="AC1011" s="4"/>
      <x:c r="AD1011" s="4"/>
    </x:row>
  </x:sheetData>
  <x:mergeCells>
    <x:mergeCell ref="F3:F4"/>
    <x:mergeCell ref="G3:G4"/>
    <x:mergeCell ref="H3:H4"/>
    <x:mergeCell ref="I3:I4"/>
    <x:mergeCell ref="J3:L3"/>
    <x:mergeCell ref="M3:M4"/>
    <x:mergeCell ref="N3:N4"/>
    <x:mergeCell ref="O3:O4"/>
    <x:mergeCell ref="P3:P4"/>
    <x:mergeCell ref="Q3:Q4"/>
    <x:mergeCell ref="R3:R4"/>
    <x:mergeCell ref="S3:S4"/>
    <x:mergeCell ref="A1:T1"/>
    <x:mergeCell ref="A2:T2"/>
    <x:mergeCell ref="A3:A4"/>
    <x:mergeCell ref="B3:B4"/>
    <x:mergeCell ref="C3:C4"/>
    <x:mergeCell ref="D3:D4"/>
    <x:mergeCell ref="E3:E4"/>
  </x:mergeCells>
  <x:hyperlinks>
    <x:hyperlink xmlns:r="http://schemas.openxmlformats.org/officeDocument/2006/relationships" ref="A2" r:id="R14196db1fc1a413f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8.25" customWidth="1"/>
    <x:col min="2" max="2" width="26.6299991607666" customWidth="1"/>
    <x:col min="6" max="6" width="12.630000114440918" customWidth="1"/>
    <x:col min="13" max="13" width="12.630000114440918" customWidth="1"/>
    <x:col min="20" max="20" width="45.5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3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5" t="s">
        <x:v>75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3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7" t="s">
        <x:v>7</x:v>
      </x:c>
      <x:c r="G3" s="8" t="s">
        <x:v>8</x:v>
      </x:c>
      <x:c r="H3" s="6" t="s">
        <x:v>9</x:v>
      </x:c>
      <x:c r="I3" s="8" t="s">
        <x:v>10</x:v>
      </x:c>
      <x:c r="J3" s="9" t="s">
        <x:v>11</x:v>
      </x:c>
      <x:c r="K3" s="2"/>
      <x:c r="L3" s="3"/>
      <x:c r="M3" s="7" t="s">
        <x:v>12</x:v>
      </x:c>
      <x:c r="N3" s="6" t="s">
        <x:v>13</x:v>
      </x:c>
      <x:c r="O3" s="6" t="s">
        <x:v>14</x:v>
      </x:c>
      <x:c r="P3" s="6" t="s">
        <x:v>15</x:v>
      </x:c>
      <x:c r="Q3" s="6" t="s">
        <x:v>16</x:v>
      </x:c>
      <x:c r="R3" s="10" t="s">
        <x:v>17</x:v>
      </x:c>
      <x:c r="S3" s="10" t="s">
        <x:v>18</x:v>
      </x:c>
      <x:c r="T3" s="11" t="s">
        <x:v>19</x:v>
      </x:c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2.5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3" t="s">
        <x:v>20</x:v>
      </x:c>
      <x:c r="K4" s="13" t="s">
        <x:v>21</x:v>
      </x:c>
      <x:c r="L4" s="13" t="s">
        <x:v>22</x:v>
      </x:c>
      <x:c r="M4" s="12"/>
      <x:c r="N4" s="12"/>
      <x:c r="O4" s="12"/>
      <x:c r="P4" s="12"/>
      <x:c r="Q4" s="12"/>
      <x:c r="R4" s="12"/>
      <x:c r="S4" s="12"/>
      <x:c r="T4" s="11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14" t="s">
        <x:v>23</x:v>
      </x:c>
      <x:c r="B5" s="15" t="s">
        <x:v>24</x:v>
      </x:c>
      <x:c r="C5" s="16">
        <x:v>11.0</x:v>
      </x:c>
      <x:c r="D5" s="16" t="n">
        <x:f t="shared" ref="D5:D6" si="1">C5-E5</x:f>
        <x:v>10</x:v>
      </x:c>
      <x:c r="E5" s="16">
        <x:v>1.0</x:v>
      </x:c>
      <x:c r="F5" s="17"/>
      <x:c r="G5" s="16">
        <x:v>436.0</x:v>
      </x:c>
      <x:c r="H5" s="16">
        <x:v>2.0</x:v>
      </x:c>
      <x:c r="I5" s="16" t="n">
        <x:f>153+117</x:f>
        <x:v>270</x:v>
      </x:c>
      <x:c r="J5" s="18">
        <x:v>46145.0</x:v>
      </x:c>
      <x:c r="K5" s="17">
        <x:v>4.0</x:v>
      </x:c>
      <x:c r="L5" s="14"/>
      <x:c r="M5" s="19"/>
      <x:c r="N5" s="20">
        <x:v>2385188.0</x:v>
      </x:c>
      <x:c r="O5" s="21" t="n">
        <x:f>1732408+637183+1440411</x:f>
        <x:v>3810002</x:v>
      </x:c>
      <x:c r="P5" s="20" t="n">
        <x:f t="shared" ref="P5:P21" si="2">SUM(M5:O5)</x:f>
        <x:v>6195190</x:v>
      </x:c>
      <x:c r="Q5" s="22">
        <x:v>0.9</x:v>
      </x:c>
      <x:c r="R5" s="23">
        <x:v>1.0</x:v>
      </x:c>
      <x:c r="S5" s="24" t="s">
        <x:v>25</x:v>
      </x:c>
      <x:c r="T5" s="2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14" t="s">
        <x:v>26</x:v>
      </x:c>
      <x:c r="B6" s="15" t="s">
        <x:v>27</x:v>
      </x:c>
      <x:c r="C6" s="16">
        <x:v>6.0</x:v>
      </x:c>
      <x:c r="D6" s="16">
        <x:f t="shared" si="1"/>
        <x:v>6</x:v>
      </x:c>
      <x:c r="E6" s="16">
        <x:v>0.0</x:v>
      </x:c>
      <x:c r="F6" s="17"/>
      <x:c r="G6" s="16">
        <x:v>358.0</x:v>
      </x:c>
      <x:c r="H6" s="16">
        <x:v>1.0</x:v>
      </x:c>
      <x:c r="I6" s="16">
        <x:v>171.0</x:v>
      </x:c>
      <x:c r="J6" s="14">
        <x:v>3.0</x:v>
      </x:c>
      <x:c r="K6" s="17">
        <x:v>4.0</x:v>
      </x:c>
      <x:c r="L6" s="14"/>
      <x:c r="M6" s="19"/>
      <x:c r="N6" s="20">
        <x:v>1977427.0</x:v>
      </x:c>
      <x:c r="O6" s="21">
        <x:v>3376246.0</x:v>
      </x:c>
      <x:c r="P6" s="20">
        <x:f t="shared" si="2"/>
        <x:v>5353673</x:v>
      </x:c>
      <x:c r="Q6" s="22">
        <x:v>0.95</x:v>
      </x:c>
      <x:c r="R6" s="23">
        <x:v>1.0</x:v>
      </x:c>
      <x:c r="S6" s="24" t="s">
        <x:v>25</x:v>
      </x:c>
      <x:c r="T6" s="2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14" t="s">
        <x:v>30</x:v>
      </x:c>
      <x:c r="B7" s="15" t="s">
        <x:v>31</x:v>
      </x:c>
      <x:c r="C7" s="16">
        <x:v>7.0</x:v>
      </x:c>
      <x:c r="D7" s="16">
        <x:v>7.0</x:v>
      </x:c>
      <x:c r="E7" s="16">
        <x:v>0.0</x:v>
      </x:c>
      <x:c r="F7" s="17"/>
      <x:c r="G7" s="16">
        <x:v>495.0</x:v>
      </x:c>
      <x:c r="H7" s="16">
        <x:v>2.0</x:v>
      </x:c>
      <x:c r="I7" s="16">
        <x:v>480.0</x:v>
      </x:c>
      <x:c r="J7" s="14">
        <x:v>3.0</x:v>
      </x:c>
      <x:c r="K7" s="17">
        <x:v>4.0</x:v>
      </x:c>
      <x:c r="L7" s="14"/>
      <x:c r="M7" s="19"/>
      <x:c r="N7" s="20">
        <x:v>2041449.0</x:v>
      </x:c>
      <x:c r="O7" s="21">
        <x:v>1841014.0</x:v>
      </x:c>
      <x:c r="P7" s="20">
        <x:f t="shared" si="2"/>
        <x:v>3882463</x:v>
      </x:c>
      <x:c r="Q7" s="22">
        <x:v>0.5</x:v>
      </x:c>
      <x:c r="R7" s="25" t="s">
        <x:v>76</x:v>
      </x:c>
      <x:c r="S7" s="24" t="s">
        <x:v>25</x:v>
      </x:c>
      <x:c r="T7" s="24" t="s">
        <x:v>77</x:v>
      </x:c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14" t="s">
        <x:v>32</x:v>
      </x:c>
      <x:c r="B8" s="15" t="s">
        <x:v>33</x:v>
      </x:c>
      <x:c r="C8" s="16">
        <x:v>6.0</x:v>
      </x:c>
      <x:c r="D8" s="16" t="n">
        <x:f t="shared" ref="D8:D9" si="3">C8-E8</x:f>
        <x:v>6</x:v>
      </x:c>
      <x:c r="E8" s="16">
        <x:v>0.0</x:v>
      </x:c>
      <x:c r="F8" s="17"/>
      <x:c r="G8" s="16">
        <x:v>320.0</x:v>
      </x:c>
      <x:c r="H8" s="16">
        <x:v>1.0</x:v>
      </x:c>
      <x:c r="I8" s="16">
        <x:v>275.0</x:v>
      </x:c>
      <x:c r="J8" s="14">
        <x:v>3.0</x:v>
      </x:c>
      <x:c r="K8" s="17">
        <x:v>6.0</x:v>
      </x:c>
      <x:c r="L8" s="14"/>
      <x:c r="M8" s="19"/>
      <x:c r="N8" s="20">
        <x:v>4246149.0</x:v>
      </x:c>
      <x:c r="O8" s="20">
        <x:v>963630.0</x:v>
      </x:c>
      <x:c r="P8" s="20">
        <x:f t="shared" si="2"/>
        <x:v>5209779</x:v>
      </x:c>
      <x:c r="Q8" s="22">
        <x:v>1.0</x:v>
      </x:c>
      <x:c r="R8" s="23">
        <x:v>0.9</x:v>
      </x:c>
      <x:c r="S8" s="24" t="s">
        <x:v>25</x:v>
      </x:c>
      <x:c r="T8" s="24" t="s">
        <x:v>78</x:v>
      </x:c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14" t="s">
        <x:v>34</x:v>
      </x:c>
      <x:c r="B9" s="15" t="s">
        <x:v>35</x:v>
      </x:c>
      <x:c r="C9" s="14">
        <x:v>7.0</x:v>
      </x:c>
      <x:c r="D9" s="16">
        <x:f t="shared" si="3"/>
        <x:v>7</x:v>
      </x:c>
      <x:c r="E9" s="16">
        <x:v>0.0</x:v>
      </x:c>
      <x:c r="F9" s="17"/>
      <x:c r="G9" s="26">
        <x:v>299.0</x:v>
      </x:c>
      <x:c r="H9" s="14">
        <x:v>0.0</x:v>
      </x:c>
      <x:c r="I9" s="14">
        <x:v>0.0</x:v>
      </x:c>
      <x:c r="J9" s="18">
        <x:v>46144.0</x:v>
      </x:c>
      <x:c r="K9" s="17">
        <x:v>3.0</x:v>
      </x:c>
      <x:c r="L9" s="14">
        <x:v>3.0</x:v>
      </x:c>
      <x:c r="M9" s="19"/>
      <x:c r="N9" s="27">
        <x:v>848602.0</x:v>
      </x:c>
      <x:c r="O9" s="28">
        <x:v>0.0</x:v>
      </x:c>
      <x:c r="P9" s="20">
        <x:f t="shared" si="2"/>
        <x:v>848602</x:v>
      </x:c>
      <x:c r="Q9" s="29">
        <x:v>0.8</x:v>
      </x:c>
      <x:c r="R9" s="23">
        <x:v>1.0</x:v>
      </x:c>
      <x:c r="S9" s="24" t="s">
        <x:v>25</x:v>
      </x:c>
      <x:c r="T9" s="24" t="s">
        <x:v>79</x:v>
      </x:c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14" t="s">
        <x:v>37</x:v>
      </x:c>
      <x:c r="B10" s="15" t="s">
        <x:v>38</x:v>
      </x:c>
      <x:c r="C10" s="14">
        <x:v>9.0</x:v>
      </x:c>
      <x:c r="D10" s="16">
        <x:v>8.0</x:v>
      </x:c>
      <x:c r="E10" s="16">
        <x:v>1.0</x:v>
      </x:c>
      <x:c r="F10" s="17"/>
      <x:c r="G10" s="14">
        <x:v>561.0</x:v>
      </x:c>
      <x:c r="H10" s="14">
        <x:v>3.0</x:v>
      </x:c>
      <x:c r="I10" s="14">
        <x:v>382.0</x:v>
      </x:c>
      <x:c r="J10" s="14">
        <x:v>3.0</x:v>
      </x:c>
      <x:c r="K10" s="17">
        <x:v>3.0</x:v>
      </x:c>
      <x:c r="L10" s="14">
        <x:v>3.0</x:v>
      </x:c>
      <x:c r="M10" s="19"/>
      <x:c r="N10" s="27">
        <x:v>2469202.0</x:v>
      </x:c>
      <x:c r="O10" s="28">
        <x:v>7092519.0</x:v>
      </x:c>
      <x:c r="P10" s="20">
        <x:f t="shared" si="2"/>
        <x:v>9561721</x:v>
      </x:c>
      <x:c r="Q10" s="29">
        <x:v>0.5</x:v>
      </x:c>
      <x:c r="R10" s="31" t="s">
        <x:v>76</x:v>
      </x:c>
      <x:c r="S10" s="24" t="s">
        <x:v>25</x:v>
      </x:c>
      <x:c r="T10" s="24" t="s">
        <x:v>80</x:v>
      </x:c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14" t="s">
        <x:v>40</x:v>
      </x:c>
      <x:c r="B11" s="15" t="s">
        <x:v>41</x:v>
      </x:c>
      <x:c r="C11" s="14">
        <x:v>5.0</x:v>
      </x:c>
      <x:c r="D11" s="16" t="n">
        <x:f t="shared" ref="D11:D21" si="4">C11-E11</x:f>
        <x:v>5</x:v>
      </x:c>
      <x:c r="E11" s="16"/>
      <x:c r="F11" s="17"/>
      <x:c r="G11" s="14"/>
      <x:c r="H11" s="14"/>
      <x:c r="I11" s="14"/>
      <x:c r="J11" s="18">
        <x:v>46144.0</x:v>
      </x:c>
      <x:c r="K11" s="17">
        <x:v>3.0</x:v>
      </x:c>
      <x:c r="L11" s="14">
        <x:v>3.0</x:v>
      </x:c>
      <x:c r="M11" s="19"/>
      <x:c r="N11" s="27"/>
      <x:c r="O11" s="28"/>
      <x:c r="P11" s="20">
        <x:f t="shared" si="2"/>
        <x:v>0</x:v>
      </x:c>
      <x:c r="Q11" s="29"/>
      <x:c r="R11" s="30"/>
      <x:c r="S11" s="24" t="s">
        <x:v>25</x:v>
      </x:c>
      <x:c r="T11" s="2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14" t="s">
        <x:v>43</x:v>
      </x:c>
      <x:c r="B12" s="15" t="s">
        <x:v>44</x:v>
      </x:c>
      <x:c r="C12" s="14">
        <x:v>9.0</x:v>
      </x:c>
      <x:c r="D12" s="16">
        <x:f t="shared" si="4"/>
        <x:v>9</x:v>
      </x:c>
      <x:c r="E12" s="16"/>
      <x:c r="F12" s="17"/>
      <x:c r="G12" s="14"/>
      <x:c r="H12" s="14"/>
      <x:c r="I12" s="14"/>
      <x:c r="J12" s="14">
        <x:v>2.0</x:v>
      </x:c>
      <x:c r="K12" s="17">
        <x:v>2.0</x:v>
      </x:c>
      <x:c r="L12" s="18">
        <x:v>46144.0</x:v>
      </x:c>
      <x:c r="M12" s="19"/>
      <x:c r="N12" s="27"/>
      <x:c r="O12" s="28"/>
      <x:c r="P12" s="20">
        <x:f t="shared" si="2"/>
        <x:v>0</x:v>
      </x:c>
      <x:c r="Q12" s="29"/>
      <x:c r="R12" s="30"/>
      <x:c r="S12" s="24" t="s">
        <x:v>25</x:v>
      </x:c>
      <x:c r="T12" s="2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14" t="s">
        <x:v>46</x:v>
      </x:c>
      <x:c r="B13" s="15" t="s">
        <x:v>47</x:v>
      </x:c>
      <x:c r="C13" s="14">
        <x:v>9.0</x:v>
      </x:c>
      <x:c r="D13" s="16">
        <x:f t="shared" si="4"/>
        <x:v>9</x:v>
      </x:c>
      <x:c r="E13" s="16"/>
      <x:c r="F13" s="17"/>
      <x:c r="G13" s="14"/>
      <x:c r="H13" s="14"/>
      <x:c r="I13" s="14"/>
      <x:c r="J13" s="14">
        <x:v>2.0</x:v>
      </x:c>
      <x:c r="K13" s="17">
        <x:v>2.0</x:v>
      </x:c>
      <x:c r="L13" s="18">
        <x:v>46144.0</x:v>
      </x:c>
      <x:c r="M13" s="19"/>
      <x:c r="N13" s="27"/>
      <x:c r="O13" s="28"/>
      <x:c r="P13" s="20">
        <x:f t="shared" si="2"/>
        <x:v>0</x:v>
      </x:c>
      <x:c r="Q13" s="29"/>
      <x:c r="R13" s="30"/>
      <x:c r="S13" s="24" t="s">
        <x:v>25</x:v>
      </x:c>
      <x:c r="T13" s="2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14" t="s">
        <x:v>49</x:v>
      </x:c>
      <x:c r="B14" s="15" t="s">
        <x:v>50</x:v>
      </x:c>
      <x:c r="C14" s="14">
        <x:v>3.0</x:v>
      </x:c>
      <x:c r="D14" s="16">
        <x:f t="shared" si="4"/>
        <x:v>3</x:v>
      </x:c>
      <x:c r="E14" s="16"/>
      <x:c r="F14" s="17"/>
      <x:c r="G14" s="14"/>
      <x:c r="H14" s="14"/>
      <x:c r="I14" s="14"/>
      <x:c r="J14" s="18">
        <x:v>46143.0</x:v>
      </x:c>
      <x:c r="K14" s="17">
        <x:v>2.0</x:v>
      </x:c>
      <x:c r="L14" s="14">
        <x:v>2.0</x:v>
      </x:c>
      <x:c r="M14" s="19"/>
      <x:c r="N14" s="27"/>
      <x:c r="O14" s="27"/>
      <x:c r="P14" s="20">
        <x:f t="shared" si="2"/>
        <x:v>0</x:v>
      </x:c>
      <x:c r="Q14" s="29"/>
      <x:c r="R14" s="30"/>
      <x:c r="S14" s="24" t="s">
        <x:v>25</x:v>
      </x:c>
      <x:c r="T14" s="2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14" t="s">
        <x:v>52</x:v>
      </x:c>
      <x:c r="B15" s="15" t="s">
        <x:v>53</x:v>
      </x:c>
      <x:c r="C15" s="14">
        <x:v>3.0</x:v>
      </x:c>
      <x:c r="D15" s="16">
        <x:f t="shared" si="4"/>
        <x:v>3</x:v>
      </x:c>
      <x:c r="E15" s="16"/>
      <x:c r="F15" s="17"/>
      <x:c r="G15" s="14"/>
      <x:c r="H15" s="14"/>
      <x:c r="I15" s="14"/>
      <x:c r="J15" s="14">
        <x:v>3.0</x:v>
      </x:c>
      <x:c r="K15" s="17">
        <x:v>3.0</x:v>
      </x:c>
      <x:c r="L15" s="14"/>
      <x:c r="M15" s="19"/>
      <x:c r="N15" s="27"/>
      <x:c r="O15" s="28"/>
      <x:c r="P15" s="20">
        <x:f t="shared" si="2"/>
        <x:v>0</x:v>
      </x:c>
      <x:c r="Q15" s="29"/>
      <x:c r="R15" s="30"/>
      <x:c r="S15" s="24" t="s">
        <x:v>25</x:v>
      </x:c>
      <x:c r="T15" s="2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14" t="s">
        <x:v>55</x:v>
      </x:c>
      <x:c r="B16" s="15" t="s">
        <x:v>56</x:v>
      </x:c>
      <x:c r="C16" s="14">
        <x:v>9.0</x:v>
      </x:c>
      <x:c r="D16" s="16">
        <x:f t="shared" si="4"/>
        <x:v>9</x:v>
      </x:c>
      <x:c r="E16" s="16"/>
      <x:c r="F16" s="17"/>
      <x:c r="G16" s="14"/>
      <x:c r="H16" s="14"/>
      <x:c r="I16" s="14"/>
      <x:c r="J16" s="18">
        <x:v>46146.0</x:v>
      </x:c>
      <x:c r="K16" s="17">
        <x:v>3.0</x:v>
      </x:c>
      <x:c r="L16" s="14"/>
      <x:c r="M16" s="19"/>
      <x:c r="N16" s="27"/>
      <x:c r="O16" s="28"/>
      <x:c r="P16" s="20">
        <x:f t="shared" si="2"/>
        <x:v>0</x:v>
      </x:c>
      <x:c r="Q16" s="29"/>
      <x:c r="R16" s="30"/>
      <x:c r="S16" s="24" t="s">
        <x:v>57</x:v>
      </x:c>
      <x:c r="T16" s="2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14" t="s">
        <x:v>59</x:v>
      </x:c>
      <x:c r="B17" s="15" t="s">
        <x:v>60</x:v>
      </x:c>
      <x:c r="C17" s="14">
        <x:v>7.0</x:v>
      </x:c>
      <x:c r="D17" s="16">
        <x:f t="shared" si="4"/>
        <x:v>7</x:v>
      </x:c>
      <x:c r="E17" s="16"/>
      <x:c r="F17" s="17"/>
      <x:c r="G17" s="14"/>
      <x:c r="H17" s="14"/>
      <x:c r="I17" s="14"/>
      <x:c r="J17" s="14">
        <x:v>3.0</x:v>
      </x:c>
      <x:c r="K17" s="17">
        <x:v>2.0</x:v>
      </x:c>
      <x:c r="L17" s="14"/>
      <x:c r="M17" s="19"/>
      <x:c r="N17" s="27"/>
      <x:c r="O17" s="28"/>
      <x:c r="P17" s="20">
        <x:f t="shared" si="2"/>
        <x:v>0</x:v>
      </x:c>
      <x:c r="Q17" s="29"/>
      <x:c r="R17" s="30"/>
      <x:c r="S17" s="24" t="s">
        <x:v>57</x:v>
      </x:c>
      <x:c r="T17" s="2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14" t="s">
        <x:v>62</x:v>
      </x:c>
      <x:c r="B18" s="15" t="s">
        <x:v>63</x:v>
      </x:c>
      <x:c r="C18" s="14">
        <x:v>3.0</x:v>
      </x:c>
      <x:c r="D18" s="16">
        <x:f t="shared" si="4"/>
        <x:v>3</x:v>
      </x:c>
      <x:c r="E18" s="16"/>
      <x:c r="F18" s="17"/>
      <x:c r="G18" s="14"/>
      <x:c r="H18" s="14"/>
      <x:c r="I18" s="14"/>
      <x:c r="J18" s="14">
        <x:v>2.0</x:v>
      </x:c>
      <x:c r="K18" s="17">
        <x:v>2.0</x:v>
      </x:c>
      <x:c r="L18" s="14"/>
      <x:c r="M18" s="19"/>
      <x:c r="N18" s="27"/>
      <x:c r="O18" s="27"/>
      <x:c r="P18" s="20">
        <x:f t="shared" si="2"/>
        <x:v>0</x:v>
      </x:c>
      <x:c r="Q18" s="29"/>
      <x:c r="R18" s="30"/>
      <x:c r="S18" s="24" t="s">
        <x:v>25</x:v>
      </x:c>
      <x:c r="T18" s="2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14" t="s">
        <x:v>65</x:v>
      </x:c>
      <x:c r="B19" s="15" t="s">
        <x:v>66</x:v>
      </x:c>
      <x:c r="C19" s="14">
        <x:v>8.0</x:v>
      </x:c>
      <x:c r="D19" s="16">
        <x:f t="shared" si="4"/>
        <x:v>8</x:v>
      </x:c>
      <x:c r="E19" s="16"/>
      <x:c r="F19" s="17"/>
      <x:c r="G19" s="14"/>
      <x:c r="H19" s="14"/>
      <x:c r="I19" s="14"/>
      <x:c r="J19" s="14">
        <x:v>4.0</x:v>
      </x:c>
      <x:c r="K19" s="17">
        <x:v>3.0</x:v>
      </x:c>
      <x:c r="L19" s="14"/>
      <x:c r="M19" s="19"/>
      <x:c r="N19" s="27"/>
      <x:c r="O19" s="27"/>
      <x:c r="P19" s="20">
        <x:f t="shared" si="2"/>
        <x:v>0</x:v>
      </x:c>
      <x:c r="Q19" s="29"/>
      <x:c r="R19" s="30"/>
      <x:c r="S19" s="24" t="s">
        <x:v>57</x:v>
      </x:c>
      <x:c r="T19" s="2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14" t="s">
        <x:v>68</x:v>
      </x:c>
      <x:c r="B20" s="15" t="s">
        <x:v>69</x:v>
      </x:c>
      <x:c r="C20" s="14">
        <x:v>5.0</x:v>
      </x:c>
      <x:c r="D20" s="16">
        <x:f t="shared" si="4"/>
        <x:v>5</x:v>
      </x:c>
      <x:c r="E20" s="16"/>
      <x:c r="F20" s="17"/>
      <x:c r="G20" s="14"/>
      <x:c r="H20" s="14"/>
      <x:c r="I20" s="14"/>
      <x:c r="J20" s="14">
        <x:v>4.0</x:v>
      </x:c>
      <x:c r="K20" s="17">
        <x:v>3.0</x:v>
      </x:c>
      <x:c r="L20" s="14"/>
      <x:c r="M20" s="19"/>
      <x:c r="N20" s="27"/>
      <x:c r="O20" s="27"/>
      <x:c r="P20" s="20">
        <x:f t="shared" si="2"/>
        <x:v>0</x:v>
      </x:c>
      <x:c r="Q20" s="29"/>
      <x:c r="R20" s="30"/>
      <x:c r="S20" s="24" t="s">
        <x:v>25</x:v>
      </x:c>
      <x:c r="T20" s="2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31" t="s">
        <x:v>71</x:v>
      </x:c>
      <x:c r="B21" s="24" t="s">
        <x:v>72</x:v>
      </x:c>
      <x:c r="C21" s="31">
        <x:v>9.0</x:v>
      </x:c>
      <x:c r="D21" s="16">
        <x:f t="shared" si="4"/>
        <x:v>9</x:v>
      </x:c>
      <x:c r="E21" s="16"/>
      <x:c r="F21" s="17"/>
      <x:c r="G21" s="31"/>
      <x:c r="H21" s="31"/>
      <x:c r="I21" s="31"/>
      <x:c r="J21" s="31">
        <x:v>3.0</x:v>
      </x:c>
      <x:c r="K21" s="17">
        <x:v>3.0</x:v>
      </x:c>
      <x:c r="L21" s="31"/>
      <x:c r="M21" s="19"/>
      <x:c r="N21" s="28"/>
      <x:c r="O21" s="28"/>
      <x:c r="P21" s="20">
        <x:f t="shared" si="2"/>
        <x:v>0</x:v>
      </x:c>
      <x:c r="Q21" s="30"/>
      <x:c r="R21" s="30"/>
      <x:c r="S21" s="24" t="s">
        <x:v>57</x:v>
      </x:c>
      <x:c r="T21" s="2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  <x:c r="AC466" s="4"/>
      <x:c r="AD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  <x:c r="AC508" s="4"/>
      <x:c r="AD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  <x:c r="AC509" s="4"/>
      <x:c r="AD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  <x:c r="AC510" s="4"/>
      <x:c r="AD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  <x:c r="AC511" s="4"/>
      <x:c r="AD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  <x:c r="AC512" s="4"/>
      <x:c r="AD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  <x:c r="AC513" s="4"/>
      <x:c r="AD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  <x:c r="AC514" s="4"/>
      <x:c r="AD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  <x:c r="AC515" s="4"/>
      <x:c r="AD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  <x:c r="AC516" s="4"/>
      <x:c r="AD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  <x:c r="AC517" s="4"/>
      <x:c r="AD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  <x:c r="AC518" s="4"/>
      <x:c r="AD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  <x:c r="AC519" s="4"/>
      <x:c r="AD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  <x:c r="AC520" s="4"/>
      <x:c r="AD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  <x:c r="AC521" s="4"/>
      <x:c r="AD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  <x:c r="AC522" s="4"/>
      <x:c r="AD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  <x:c r="AC523" s="4"/>
      <x:c r="AD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  <x:c r="AC524" s="4"/>
      <x:c r="AD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  <x:c r="AB525" s="4"/>
      <x:c r="AC525" s="4"/>
      <x:c r="AD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  <x:c r="AB526" s="4"/>
      <x:c r="AC526" s="4"/>
      <x:c r="AD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  <x:c r="AC527" s="4"/>
      <x:c r="AD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  <x:c r="AC528" s="4"/>
      <x:c r="AD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  <x:c r="AC529" s="4"/>
      <x:c r="AD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  <x:c r="AC530" s="4"/>
      <x:c r="AD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  <x:c r="AC531" s="4"/>
      <x:c r="AD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  <x:c r="AC532" s="4"/>
      <x:c r="AD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  <x:c r="AC533" s="4"/>
      <x:c r="AD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  <x:c r="AC534" s="4"/>
      <x:c r="AD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  <x:c r="AC535" s="4"/>
      <x:c r="AD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  <x:c r="AC536" s="4"/>
      <x:c r="AD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  <x:c r="AC537" s="4"/>
      <x:c r="AD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  <x:c r="AC538" s="4"/>
      <x:c r="AD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  <x:c r="AC539" s="4"/>
      <x:c r="AD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  <x:c r="AC540" s="4"/>
      <x:c r="AD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  <x:c r="AC541" s="4"/>
      <x:c r="AD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  <x:c r="AC542" s="4"/>
      <x:c r="AD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  <x:c r="AC543" s="4"/>
      <x:c r="AD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  <x:c r="AC597" s="4"/>
      <x:c r="AD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  <x:c r="AC598" s="4"/>
      <x:c r="AD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  <x:c r="AC599" s="4"/>
      <x:c r="AD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  <x:c r="AC600" s="4"/>
      <x:c r="AD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  <x:c r="AC601" s="4"/>
      <x:c r="AD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  <x:c r="AC602" s="4"/>
      <x:c r="AD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  <x:c r="AC603" s="4"/>
      <x:c r="AD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  <x:c r="AC604" s="4"/>
      <x:c r="AD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  <x:c r="AC605" s="4"/>
      <x:c r="AD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  <x:c r="AC606" s="4"/>
      <x:c r="AD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  <x:c r="AC607" s="4"/>
      <x:c r="AD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  <x:c r="AC608" s="4"/>
      <x:c r="AD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  <x:c r="AC609" s="4"/>
      <x:c r="AD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  <x:c r="AC610" s="4"/>
      <x:c r="AD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  <x:c r="AC611" s="4"/>
      <x:c r="AD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  <x:c r="AC612" s="4"/>
      <x:c r="AD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  <x:c r="AC613" s="4"/>
      <x:c r="AD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  <x:c r="AB614" s="4"/>
      <x:c r="AC614" s="4"/>
      <x:c r="AD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  <x:c r="AB615" s="4"/>
      <x:c r="AC615" s="4"/>
      <x:c r="AD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  <x:c r="AC616" s="4"/>
      <x:c r="AD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  <x:c r="AC617" s="4"/>
      <x:c r="AD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  <x:c r="AC618" s="4"/>
      <x:c r="AD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  <x:c r="AC619" s="4"/>
      <x:c r="AD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  <x:c r="AC620" s="4"/>
      <x:c r="AD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  <x:c r="AC621" s="4"/>
      <x:c r="AD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  <x:c r="AC622" s="4"/>
      <x:c r="AD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  <x:c r="AC623" s="4"/>
      <x:c r="AD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  <x:c r="AC624" s="4"/>
      <x:c r="AD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  <x:c r="AC625" s="4"/>
      <x:c r="AD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  <x:c r="AC626" s="4"/>
      <x:c r="AD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  <x:c r="AC627" s="4"/>
      <x:c r="AD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  <x:c r="AC628" s="4"/>
      <x:c r="AD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  <x:c r="AC629" s="4"/>
      <x:c r="AD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  <x:c r="AC630" s="4"/>
      <x:c r="AD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  <x:c r="AC631" s="4"/>
      <x:c r="AD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  <x:c r="AC632" s="4"/>
      <x:c r="AD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  <x:c r="AC720" s="4"/>
      <x:c r="AD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  <x:c r="AC721" s="4"/>
      <x:c r="AD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  <x:c r="AC722" s="4"/>
      <x:c r="AD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  <x:c r="AC723" s="4"/>
      <x:c r="AD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  <x:c r="AC724" s="4"/>
      <x:c r="AD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  <x:c r="AC725" s="4"/>
      <x:c r="AD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  <x:c r="AC726" s="4"/>
      <x:c r="AD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  <x:c r="AC727" s="4"/>
      <x:c r="AD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  <x:c r="AC728" s="4"/>
      <x:c r="AD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  <x:c r="AC729" s="4"/>
      <x:c r="AD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  <x:c r="AC730" s="4"/>
      <x:c r="AD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  <x:c r="AC731" s="4"/>
      <x:c r="AD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  <x:c r="AC732" s="4"/>
      <x:c r="AD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  <x:c r="AC733" s="4"/>
      <x:c r="AD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  <x:c r="AC734" s="4"/>
      <x:c r="AD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  <x:c r="AC735" s="4"/>
      <x:c r="AD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  <x:c r="AC736" s="4"/>
      <x:c r="AD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  <x:c r="AB737" s="4"/>
      <x:c r="AC737" s="4"/>
      <x:c r="AD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  <x:c r="AB738" s="4"/>
      <x:c r="AC738" s="4"/>
      <x:c r="AD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  <x:c r="AB739" s="4"/>
      <x:c r="AC739" s="4"/>
      <x:c r="AD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  <x:c r="AB740" s="4"/>
      <x:c r="AC740" s="4"/>
      <x:c r="AD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  <x:c r="AB741" s="4"/>
      <x:c r="AC741" s="4"/>
      <x:c r="AD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  <x:c r="AB742" s="4"/>
      <x:c r="AC742" s="4"/>
      <x:c r="AD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  <x:c r="AB743" s="4"/>
      <x:c r="AC743" s="4"/>
      <x:c r="AD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  <x:c r="AB744" s="4"/>
      <x:c r="AC744" s="4"/>
      <x:c r="AD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  <x:c r="AC745" s="4"/>
      <x:c r="AD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  <x:c r="AC746" s="4"/>
      <x:c r="AD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  <x:c r="AC747" s="4"/>
      <x:c r="AD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  <x:c r="AC748" s="4"/>
      <x:c r="AD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  <x:c r="AC749" s="4"/>
      <x:c r="AD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  <x:c r="AC750" s="4"/>
      <x:c r="AD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  <x:c r="AC751" s="4"/>
      <x:c r="AD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  <x:c r="AC752" s="4"/>
      <x:c r="AD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  <x:c r="AC753" s="4"/>
      <x:c r="AD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  <x:c r="AC754" s="4"/>
      <x:c r="AD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  <x:c r="AC755" s="4"/>
      <x:c r="AD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  <x:c r="AC756" s="4"/>
      <x:c r="AD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  <x:c r="AC757" s="4"/>
      <x:c r="AD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  <x:c r="AC758" s="4"/>
      <x:c r="AD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  <x:c r="AC759" s="4"/>
      <x:c r="AD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  <x:c r="AC760" s="4"/>
      <x:c r="AD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  <x:c r="AC761" s="4"/>
      <x:c r="AD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  <x:c r="AC838" s="4"/>
      <x:c r="AD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  <x:c r="AC839" s="4"/>
      <x:c r="AD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  <x:c r="AC840" s="4"/>
      <x:c r="AD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  <x:c r="AC852" s="4"/>
      <x:c r="AD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  <x:c r="AC853" s="4"/>
      <x:c r="AD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  <x:c r="AC854" s="4"/>
      <x:c r="AD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  <x:c r="AC855" s="4"/>
      <x:c r="AD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  <x:c r="AC856" s="4"/>
      <x:c r="AD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  <x:c r="AC857" s="4"/>
      <x:c r="AD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  <x:c r="AC858" s="4"/>
      <x:c r="AD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  <x:c r="AC859" s="4"/>
      <x:c r="AD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  <x:c r="AC860" s="4"/>
      <x:c r="AD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  <x:c r="AC861" s="4"/>
      <x:c r="AD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  <x:c r="AC862" s="4"/>
      <x:c r="AD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  <x:c r="AC864" s="4"/>
      <x:c r="AD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  <x:c r="AC865" s="4"/>
      <x:c r="AD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  <x:c r="AC866" s="4"/>
      <x:c r="AD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  <x:c r="AC867" s="4"/>
      <x:c r="AD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  <x:c r="AC868" s="4"/>
      <x:c r="AD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  <x:c r="AC869" s="4"/>
      <x:c r="AD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  <x:c r="AC870" s="4"/>
      <x:c r="AD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  <x:c r="AC871" s="4"/>
      <x:c r="AD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  <x:c r="AC872" s="4"/>
      <x:c r="AD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  <x:c r="AC873" s="4"/>
      <x:c r="AD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  <x:c r="AC874" s="4"/>
      <x:c r="AD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  <x:c r="AC875" s="4"/>
      <x:c r="AD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  <x:c r="AC876" s="4"/>
      <x:c r="AD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  <x:c r="AC877" s="4"/>
      <x:c r="AD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  <x:c r="AC878" s="4"/>
      <x:c r="AD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  <x:c r="AC879" s="4"/>
      <x:c r="AD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  <x:c r="AC880" s="4"/>
      <x:c r="AD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  <x:c r="AC881" s="4"/>
      <x:c r="AD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  <x:c r="AC916" s="4"/>
      <x:c r="AD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  <x:c r="AC917" s="4"/>
      <x:c r="AD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  <x:c r="AC918" s="4"/>
      <x:c r="AD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  <x:c r="AC930" s="4"/>
      <x:c r="AD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  <x:c r="AC931" s="4"/>
      <x:c r="AD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  <x:c r="AC932" s="4"/>
      <x:c r="AD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  <x:c r="AC933" s="4"/>
      <x:c r="AD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  <x:c r="AC934" s="4"/>
      <x:c r="AD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  <x:c r="AC935" s="4"/>
      <x:c r="AD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  <x:c r="AC936" s="4"/>
      <x:c r="AD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  <x:c r="AC937" s="4"/>
      <x:c r="AD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  <x:c r="AC938" s="4"/>
      <x:c r="AD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  <x:c r="AC939" s="4"/>
      <x:c r="AD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  <x:c r="AC940" s="4"/>
      <x:c r="AD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  <x:c r="AC942" s="4"/>
      <x:c r="AD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  <x:c r="AC943" s="4"/>
      <x:c r="AD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  <x:c r="AC944" s="4"/>
      <x:c r="AD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  <x:c r="AC945" s="4"/>
      <x:c r="AD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  <x:c r="AC946" s="4"/>
      <x:c r="AD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  <x:c r="AC947" s="4"/>
      <x:c r="AD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  <x:c r="AC948" s="4"/>
      <x:c r="AD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  <x:c r="AC949" s="4"/>
      <x:c r="AD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  <x:c r="AC950" s="4"/>
      <x:c r="AD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  <x:c r="AC951" s="4"/>
      <x:c r="AD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  <x:c r="AC952" s="4"/>
      <x:c r="AD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  <x:c r="AC953" s="4"/>
      <x:c r="AD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  <x:c r="AC954" s="4"/>
      <x:c r="AD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  <x:c r="AC955" s="4"/>
      <x:c r="AD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  <x:c r="AC956" s="4"/>
      <x:c r="AD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  <x:c r="AC957" s="4"/>
      <x:c r="AD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  <x:c r="AB958" s="4"/>
      <x:c r="AC958" s="4"/>
      <x:c r="AD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  <x:c r="AB959" s="4"/>
      <x:c r="AC959" s="4"/>
      <x:c r="AD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  <x:c r="AC960" s="4"/>
      <x:c r="AD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  <x:c r="AC961" s="4"/>
      <x:c r="AD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  <x:c r="AC962" s="4"/>
      <x:c r="AD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  <x:c r="AC963" s="4"/>
      <x:c r="AD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  <x:c r="AC964" s="4"/>
      <x:c r="AD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  <x:c r="AC965" s="4"/>
      <x:c r="AD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  <x:c r="AC966" s="4"/>
      <x:c r="AD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  <x:c r="AC967" s="4"/>
      <x:c r="AD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  <x:c r="AC968" s="4"/>
      <x:c r="AD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  <x:c r="AC969" s="4"/>
      <x:c r="AD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  <x:c r="AC970" s="4"/>
      <x:c r="AD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  <x:c r="AC971" s="4"/>
      <x:c r="AD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  <x:c r="AC972" s="4"/>
      <x:c r="AD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  <x:c r="AC973" s="4"/>
      <x:c r="AD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  <x:c r="AC974" s="4"/>
      <x:c r="AD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  <x:c r="AC975" s="4"/>
      <x:c r="AD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  <x:c r="AC976" s="4"/>
      <x:c r="AD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  <x:c r="AC977" s="4"/>
      <x:c r="AD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  <x:c r="AC978" s="4"/>
      <x:c r="AD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  <x:c r="AC979" s="4"/>
      <x:c r="AD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  <x:c r="AC980" s="4"/>
      <x:c r="AD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  <x:c r="AC981" s="4"/>
      <x:c r="AD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  <x:c r="AC982" s="4"/>
      <x:c r="AD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  <x:c r="AC983" s="4"/>
      <x:c r="AD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  <x:c r="AC984" s="4"/>
      <x:c r="AD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  <x:c r="AC985" s="4"/>
      <x:c r="AD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  <x:c r="AC986" s="4"/>
      <x:c r="AD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  <x:c r="AC987" s="4"/>
      <x:c r="AD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  <x:c r="AC988" s="4"/>
      <x:c r="AD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  <x:c r="AC989" s="4"/>
      <x:c r="AD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  <x:c r="AC990" s="4"/>
      <x:c r="AD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  <x:c r="AC991" s="4"/>
      <x:c r="AD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  <x:c r="AC992" s="4"/>
      <x:c r="AD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  <x:c r="AC993" s="4"/>
      <x:c r="AD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  <x:c r="AC994" s="4"/>
      <x:c r="AD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  <x:c r="AC995" s="4"/>
      <x:c r="AD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  <x:c r="AC996" s="4"/>
      <x:c r="AD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  <x:c r="AC997" s="4"/>
      <x:c r="AD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  <x:c r="AC998" s="4"/>
      <x:c r="AD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  <x:c r="AB999" s="4"/>
      <x:c r="AC999" s="4"/>
      <x:c r="AD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  <x:c r="AB1000" s="4"/>
      <x:c r="AC1000" s="4"/>
      <x:c r="AD1000" s="4"/>
    </x:row>
    <x:row r="1001">
      <x:c r="A1001" s="4"/>
      <x:c r="B1001" s="4"/>
      <x:c r="C1001" s="4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  <x:c r="Z1001" s="4"/>
      <x:c r="AA1001" s="4"/>
      <x:c r="AB1001" s="4"/>
      <x:c r="AC1001" s="4"/>
      <x:c r="AD1001" s="4"/>
    </x:row>
    <x:row r="1002">
      <x:c r="A1002" s="4"/>
      <x:c r="B1002" s="4"/>
      <x:c r="C1002" s="4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  <x:c r="Z1002" s="4"/>
      <x:c r="AA1002" s="4"/>
      <x:c r="AB1002" s="4"/>
      <x:c r="AC1002" s="4"/>
      <x:c r="AD1002" s="4"/>
    </x:row>
    <x:row r="1003">
      <x:c r="A1003" s="4"/>
      <x:c r="B1003" s="4"/>
      <x:c r="C1003" s="4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  <x:c r="Z1003" s="4"/>
      <x:c r="AA1003" s="4"/>
      <x:c r="AB1003" s="4"/>
      <x:c r="AC1003" s="4"/>
      <x:c r="AD1003" s="4"/>
    </x:row>
    <x:row r="1004">
      <x:c r="A1004" s="4"/>
      <x:c r="B1004" s="4"/>
      <x:c r="C1004" s="4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  <x:c r="Z1004" s="4"/>
      <x:c r="AA1004" s="4"/>
      <x:c r="AB1004" s="4"/>
      <x:c r="AC1004" s="4"/>
      <x:c r="AD1004" s="4"/>
    </x:row>
    <x:row r="1005">
      <x:c r="A1005" s="4"/>
      <x:c r="B1005" s="4"/>
      <x:c r="C1005" s="4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  <x:c r="Z1005" s="4"/>
      <x:c r="AA1005" s="4"/>
      <x:c r="AB1005" s="4"/>
      <x:c r="AC1005" s="4"/>
      <x:c r="AD1005" s="4"/>
    </x:row>
    <x:row r="1006">
      <x:c r="A1006" s="4"/>
      <x:c r="B1006" s="4"/>
      <x:c r="C1006" s="4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  <x:c r="Z1006" s="4"/>
      <x:c r="AA1006" s="4"/>
      <x:c r="AB1006" s="4"/>
      <x:c r="AC1006" s="4"/>
      <x:c r="AD1006" s="4"/>
    </x:row>
    <x:row r="1007">
      <x:c r="A1007" s="4"/>
      <x:c r="B1007" s="4"/>
      <x:c r="C1007" s="4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  <x:c r="Z1007" s="4"/>
      <x:c r="AA1007" s="4"/>
      <x:c r="AB1007" s="4"/>
      <x:c r="AC1007" s="4"/>
      <x:c r="AD1007" s="4"/>
    </x:row>
    <x:row r="1008">
      <x:c r="A1008" s="4"/>
      <x:c r="B1008" s="4"/>
      <x:c r="C1008" s="4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  <x:c r="Z1008" s="4"/>
      <x:c r="AA1008" s="4"/>
      <x:c r="AB1008" s="4"/>
      <x:c r="AC1008" s="4"/>
      <x:c r="AD1008" s="4"/>
    </x:row>
    <x:row r="1009">
      <x:c r="A1009" s="4"/>
      <x:c r="B1009" s="4"/>
      <x:c r="C1009" s="4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  <x:c r="Z1009" s="4"/>
      <x:c r="AA1009" s="4"/>
      <x:c r="AB1009" s="4"/>
      <x:c r="AC1009" s="4"/>
      <x:c r="AD1009" s="4"/>
    </x:row>
    <x:row r="1010">
      <x:c r="A1010" s="4"/>
      <x:c r="B1010" s="4"/>
      <x:c r="C1010" s="4"/>
      <x:c r="D1010" s="4"/>
      <x:c r="E1010" s="4"/>
      <x:c r="F1010" s="4"/>
      <x:c r="G1010" s="4"/>
      <x:c r="H1010" s="4"/>
      <x:c r="I1010" s="4"/>
      <x:c r="J1010" s="4"/>
      <x:c r="K1010" s="4"/>
      <x:c r="L1010" s="4"/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4"/>
      <x:c r="W1010" s="4"/>
      <x:c r="X1010" s="4"/>
      <x:c r="Y1010" s="4"/>
      <x:c r="Z1010" s="4"/>
      <x:c r="AA1010" s="4"/>
      <x:c r="AB1010" s="4"/>
      <x:c r="AC1010" s="4"/>
      <x:c r="AD1010" s="4"/>
    </x:row>
    <x:row r="1011">
      <x:c r="A1011" s="4"/>
      <x:c r="B1011" s="4"/>
      <x:c r="C1011" s="4"/>
      <x:c r="D1011" s="4"/>
      <x:c r="E1011" s="4"/>
      <x:c r="F1011" s="4"/>
      <x:c r="G1011" s="4"/>
      <x:c r="H1011" s="4"/>
      <x:c r="I1011" s="4"/>
      <x:c r="J1011" s="4"/>
      <x:c r="K1011" s="4"/>
      <x:c r="L1011" s="4"/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4"/>
      <x:c r="W1011" s="4"/>
      <x:c r="X1011" s="4"/>
      <x:c r="Y1011" s="4"/>
      <x:c r="Z1011" s="4"/>
      <x:c r="AA1011" s="4"/>
      <x:c r="AB1011" s="4"/>
      <x:c r="AC1011" s="4"/>
      <x:c r="AD1011" s="4"/>
    </x:row>
  </x:sheetData>
  <x:mergeCells>
    <x:mergeCell ref="F3:F4"/>
    <x:mergeCell ref="G3:G4"/>
    <x:mergeCell ref="H3:H4"/>
    <x:mergeCell ref="I3:I4"/>
    <x:mergeCell ref="J3:L3"/>
    <x:mergeCell ref="M3:M4"/>
    <x:mergeCell ref="N3:N4"/>
    <x:mergeCell ref="O3:O4"/>
    <x:mergeCell ref="P3:P4"/>
    <x:mergeCell ref="Q3:Q4"/>
    <x:mergeCell ref="R3:R4"/>
    <x:mergeCell ref="S3:S4"/>
    <x:mergeCell ref="A1:T1"/>
    <x:mergeCell ref="A2:T2"/>
    <x:mergeCell ref="A3:A4"/>
    <x:mergeCell ref="B3:B4"/>
    <x:mergeCell ref="C3:C4"/>
    <x:mergeCell ref="D3:D4"/>
    <x:mergeCell ref="E3:E4"/>
  </x:mergeCells>
  <x:hyperlinks>
    <x:hyperlink xmlns:r="http://schemas.openxmlformats.org/officeDocument/2006/relationships" ref="A2" r:id="Rc9e20209c88c4b39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8.25" customWidth="1"/>
    <x:col min="2" max="2" width="26.6299991607666" customWidth="1"/>
    <x:col min="6" max="6" width="12.630000114440918" customWidth="1"/>
    <x:col min="13" max="13" width="12.630000114440918" customWidth="1"/>
    <x:col min="15" max="15" width="14.130000114440918" customWidth="1"/>
    <x:col min="20" max="20" width="45.5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3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5" t="s">
        <x:v>81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3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7" t="s">
        <x:v>7</x:v>
      </x:c>
      <x:c r="G3" s="8" t="s">
        <x:v>8</x:v>
      </x:c>
      <x:c r="H3" s="6" t="s">
        <x:v>9</x:v>
      </x:c>
      <x:c r="I3" s="8" t="s">
        <x:v>10</x:v>
      </x:c>
      <x:c r="J3" s="9" t="s">
        <x:v>11</x:v>
      </x:c>
      <x:c r="K3" s="2"/>
      <x:c r="L3" s="3"/>
      <x:c r="M3" s="7" t="s">
        <x:v>12</x:v>
      </x:c>
      <x:c r="N3" s="6" t="s">
        <x:v>13</x:v>
      </x:c>
      <x:c r="O3" s="6" t="s">
        <x:v>14</x:v>
      </x:c>
      <x:c r="P3" s="6" t="s">
        <x:v>15</x:v>
      </x:c>
      <x:c r="Q3" s="6" t="s">
        <x:v>16</x:v>
      </x:c>
      <x:c r="R3" s="10" t="s">
        <x:v>17</x:v>
      </x:c>
      <x:c r="S3" s="10" t="s">
        <x:v>18</x:v>
      </x:c>
      <x:c r="T3" s="11" t="s">
        <x:v>19</x:v>
      </x:c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2.5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3" t="s">
        <x:v>20</x:v>
      </x:c>
      <x:c r="K4" s="13" t="s">
        <x:v>21</x:v>
      </x:c>
      <x:c r="L4" s="13" t="s">
        <x:v>22</x:v>
      </x:c>
      <x:c r="M4" s="12"/>
      <x:c r="N4" s="12"/>
      <x:c r="O4" s="12"/>
      <x:c r="P4" s="12"/>
      <x:c r="Q4" s="12"/>
      <x:c r="R4" s="12"/>
      <x:c r="S4" s="12"/>
      <x:c r="T4" s="11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14" t="s">
        <x:v>23</x:v>
      </x:c>
      <x:c r="B5" s="15" t="s">
        <x:v>24</x:v>
      </x:c>
      <x:c r="C5" s="16">
        <x:v>11.0</x:v>
      </x:c>
      <x:c r="D5" s="16">
        <x:v>11.0</x:v>
      </x:c>
      <x:c r="E5" s="16">
        <x:v>0.0</x:v>
      </x:c>
      <x:c r="F5" s="17"/>
      <x:c r="G5" s="16">
        <x:v>100.652</x:v>
      </x:c>
      <x:c r="H5" s="16">
        <x:v>2.0</x:v>
      </x:c>
      <x:c r="I5" s="16">
        <x:v>1776.571</x:v>
      </x:c>
      <x:c r="J5" s="32">
        <x:v>3.5</x:v>
      </x:c>
      <x:c r="K5" s="17">
        <x:v>4.0</x:v>
      </x:c>
      <x:c r="L5" s="14" t="s">
        <x:v>82</x:v>
      </x:c>
      <x:c r="M5" s="19"/>
      <x:c r="N5" s="20">
        <x:v>1098602.0</x:v>
      </x:c>
      <x:c r="O5" s="21">
        <x:v>1.6794301E7</x:v>
      </x:c>
      <x:c r="P5" s="20" t="n">
        <x:f t="shared" ref="P5:P21" si="1">SUM(M5:O5)</x:f>
        <x:v>17892903</x:v>
      </x:c>
      <x:c r="Q5" s="33">
        <x:v>0.6</x:v>
      </x:c>
      <x:c r="R5" s="34">
        <x:v>1.0</x:v>
      </x:c>
      <x:c r="S5" s="24" t="s">
        <x:v>25</x:v>
      </x:c>
      <x:c r="T5" s="24" t="s">
        <x:v>83</x:v>
      </x:c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14" t="s">
        <x:v>26</x:v>
      </x:c>
      <x:c r="B6" s="15" t="s">
        <x:v>27</x:v>
      </x:c>
      <x:c r="C6" s="16">
        <x:v>6.0</x:v>
      </x:c>
      <x:c r="D6" s="16">
        <x:v>6.0</x:v>
      </x:c>
      <x:c r="E6" s="16">
        <x:v>0.0</x:v>
      </x:c>
      <x:c r="F6" s="17"/>
      <x:c r="G6" s="16">
        <x:v>1174.669</x:v>
      </x:c>
      <x:c r="H6" s="16">
        <x:v>6.0</x:v>
      </x:c>
      <x:c r="I6" s="16">
        <x:v>1393.598</x:v>
      </x:c>
      <x:c r="J6" s="14">
        <x:v>3.0</x:v>
      </x:c>
      <x:c r="K6" s="17">
        <x:v>4.0</x:v>
      </x:c>
      <x:c r="L6" s="14" t="s">
        <x:v>82</x:v>
      </x:c>
      <x:c r="M6" s="19"/>
      <x:c r="N6" s="20">
        <x:v>1.3418459E7</x:v>
      </x:c>
      <x:c r="O6" s="21">
        <x:v>1.1075218E7</x:v>
      </x:c>
      <x:c r="P6" s="20">
        <x:f t="shared" si="1"/>
        <x:v>24493677</x:v>
      </x:c>
      <x:c r="Q6" s="33">
        <x:v>0.6</x:v>
      </x:c>
      <x:c r="R6" s="34">
        <x:v>1.0</x:v>
      </x:c>
      <x:c r="S6" s="24" t="s">
        <x:v>25</x:v>
      </x:c>
      <x:c r="T6" s="24" t="s">
        <x:v>84</x:v>
      </x:c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14" t="s">
        <x:v>30</x:v>
      </x:c>
      <x:c r="B7" s="15" t="s">
        <x:v>31</x:v>
      </x:c>
      <x:c r="C7" s="16">
        <x:v>7.0</x:v>
      </x:c>
      <x:c r="D7" s="16">
        <x:v>6.0</x:v>
      </x:c>
      <x:c r="E7" s="16">
        <x:v>1.0</x:v>
      </x:c>
      <x:c r="F7" s="17"/>
      <x:c r="G7" s="16">
        <x:v>1227.034</x:v>
      </x:c>
      <x:c r="H7" s="16">
        <x:v>1.0</x:v>
      </x:c>
      <x:c r="I7" s="16">
        <x:v>448.051</x:v>
      </x:c>
      <x:c r="J7" s="14">
        <x:v>3.0</x:v>
      </x:c>
      <x:c r="K7" s="17">
        <x:v>4.0</x:v>
      </x:c>
      <x:c r="L7" s="14" t="s">
        <x:v>82</x:v>
      </x:c>
      <x:c r="M7" s="19"/>
      <x:c r="N7" s="20">
        <x:v>7868711.0</x:v>
      </x:c>
      <x:c r="O7" s="21">
        <x:v>4321370.0</x:v>
      </x:c>
      <x:c r="P7" s="20">
        <x:f t="shared" si="1"/>
        <x:v>12190081</x:v>
      </x:c>
      <x:c r="Q7" s="33">
        <x:v>1.0</x:v>
      </x:c>
      <x:c r="R7" s="34">
        <x:v>1.0</x:v>
      </x:c>
      <x:c r="S7" s="24" t="s">
        <x:v>25</x:v>
      </x:c>
      <x:c r="T7" s="24" t="s">
        <x:v>85</x:v>
      </x:c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14" t="s">
        <x:v>32</x:v>
      </x:c>
      <x:c r="B8" s="15" t="s">
        <x:v>33</x:v>
      </x:c>
      <x:c r="C8" s="16">
        <x:v>8.0</x:v>
      </x:c>
      <x:c r="D8" s="16">
        <x:v>8.0</x:v>
      </x:c>
      <x:c r="E8" s="16">
        <x:v>0.0</x:v>
      </x:c>
      <x:c r="F8" s="17"/>
      <x:c r="G8" s="16">
        <x:v>1073.302</x:v>
      </x:c>
      <x:c r="H8" s="16">
        <x:v>0.0</x:v>
      </x:c>
      <x:c r="I8" s="16">
        <x:v>0.0</x:v>
      </x:c>
      <x:c r="J8" s="14">
        <x:v>3.0</x:v>
      </x:c>
      <x:c r="K8" s="17">
        <x:v>6.0</x:v>
      </x:c>
      <x:c r="L8" s="14" t="s">
        <x:v>82</x:v>
      </x:c>
      <x:c r="M8" s="19"/>
      <x:c r="N8" s="20">
        <x:v>1.0372266E7</x:v>
      </x:c>
      <x:c r="O8" s="20">
        <x:v>0.0</x:v>
      </x:c>
      <x:c r="P8" s="20">
        <x:f t="shared" si="1"/>
        <x:v>10372266</x:v>
      </x:c>
      <x:c r="Q8" s="33">
        <x:v>1.0</x:v>
      </x:c>
      <x:c r="R8" s="34">
        <x:v>1.0</x:v>
      </x:c>
      <x:c r="S8" s="24" t="s">
        <x:v>25</x:v>
      </x:c>
      <x:c r="T8" s="24" t="s">
        <x:v>86</x:v>
      </x:c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14" t="s">
        <x:v>34</x:v>
      </x:c>
      <x:c r="B9" s="15" t="s">
        <x:v>35</x:v>
      </x:c>
      <x:c r="C9" s="14">
        <x:v>6.0</x:v>
      </x:c>
      <x:c r="D9" s="14">
        <x:v>6.0</x:v>
      </x:c>
      <x:c r="E9" s="14">
        <x:v>1.0</x:v>
      </x:c>
      <x:c r="F9" s="17"/>
      <x:c r="G9" s="26"/>
      <x:c r="H9" s="14"/>
      <x:c r="I9" s="14"/>
      <x:c r="J9" s="18">
        <x:v>46144.0</x:v>
      </x:c>
      <x:c r="K9" s="17">
        <x:v>3.0</x:v>
      </x:c>
      <x:c r="L9" s="14">
        <x:v>3.0</x:v>
      </x:c>
      <x:c r="M9" s="19"/>
      <x:c r="N9" s="27"/>
      <x:c r="O9" s="28"/>
      <x:c r="P9" s="27">
        <x:f t="shared" si="1"/>
        <x:v>0</x:v>
      </x:c>
      <x:c r="Q9" s="29"/>
      <x:c r="R9" s="30"/>
      <x:c r="S9" s="24" t="s">
        <x:v>25</x:v>
      </x:c>
      <x:c r="T9" s="2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14" t="s">
        <x:v>37</x:v>
      </x:c>
      <x:c r="B10" s="15" t="s">
        <x:v>38</x:v>
      </x:c>
      <x:c r="C10" s="14">
        <x:v>9.0</x:v>
      </x:c>
      <x:c r="D10" s="14"/>
      <x:c r="E10" s="14"/>
      <x:c r="F10" s="17"/>
      <x:c r="G10" s="14"/>
      <x:c r="H10" s="14"/>
      <x:c r="I10" s="14"/>
      <x:c r="J10" s="14">
        <x:v>3.0</x:v>
      </x:c>
      <x:c r="K10" s="17">
        <x:v>3.0</x:v>
      </x:c>
      <x:c r="L10" s="14">
        <x:v>3.0</x:v>
      </x:c>
      <x:c r="M10" s="19"/>
      <x:c r="N10" s="27"/>
      <x:c r="O10" s="28"/>
      <x:c r="P10" s="27">
        <x:f t="shared" si="1"/>
        <x:v>0</x:v>
      </x:c>
      <x:c r="Q10" s="29"/>
      <x:c r="R10" s="30"/>
      <x:c r="S10" s="24" t="s">
        <x:v>25</x:v>
      </x:c>
      <x:c r="T10" s="2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14" t="s">
        <x:v>40</x:v>
      </x:c>
      <x:c r="B11" s="15" t="s">
        <x:v>41</x:v>
      </x:c>
      <x:c r="C11" s="14">
        <x:v>5.0</x:v>
      </x:c>
      <x:c r="D11" s="14"/>
      <x:c r="E11" s="14"/>
      <x:c r="F11" s="17"/>
      <x:c r="G11" s="14"/>
      <x:c r="H11" s="14"/>
      <x:c r="I11" s="14"/>
      <x:c r="J11" s="18">
        <x:v>46144.0</x:v>
      </x:c>
      <x:c r="K11" s="17">
        <x:v>3.0</x:v>
      </x:c>
      <x:c r="L11" s="14">
        <x:v>3.0</x:v>
      </x:c>
      <x:c r="M11" s="19"/>
      <x:c r="N11" s="27"/>
      <x:c r="O11" s="28"/>
      <x:c r="P11" s="27">
        <x:f t="shared" si="1"/>
        <x:v>0</x:v>
      </x:c>
      <x:c r="Q11" s="29"/>
      <x:c r="R11" s="30"/>
      <x:c r="S11" s="24" t="s">
        <x:v>25</x:v>
      </x:c>
      <x:c r="T11" s="2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14" t="s">
        <x:v>43</x:v>
      </x:c>
      <x:c r="B12" s="15" t="s">
        <x:v>44</x:v>
      </x:c>
      <x:c r="C12" s="14">
        <x:v>9.0</x:v>
      </x:c>
      <x:c r="D12" s="14"/>
      <x:c r="E12" s="14"/>
      <x:c r="F12" s="17"/>
      <x:c r="G12" s="14"/>
      <x:c r="H12" s="14"/>
      <x:c r="I12" s="14"/>
      <x:c r="J12" s="14">
        <x:v>2.0</x:v>
      </x:c>
      <x:c r="K12" s="17">
        <x:v>2.0</x:v>
      </x:c>
      <x:c r="L12" s="18">
        <x:v>46144.0</x:v>
      </x:c>
      <x:c r="M12" s="19"/>
      <x:c r="N12" s="27"/>
      <x:c r="O12" s="28"/>
      <x:c r="P12" s="27">
        <x:f t="shared" si="1"/>
        <x:v>0</x:v>
      </x:c>
      <x:c r="Q12" s="29"/>
      <x:c r="R12" s="30"/>
      <x:c r="S12" s="24" t="s">
        <x:v>25</x:v>
      </x:c>
      <x:c r="T12" s="2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14" t="s">
        <x:v>46</x:v>
      </x:c>
      <x:c r="B13" s="15" t="s">
        <x:v>47</x:v>
      </x:c>
      <x:c r="C13" s="14">
        <x:v>9.0</x:v>
      </x:c>
      <x:c r="D13" s="14"/>
      <x:c r="E13" s="14"/>
      <x:c r="F13" s="17"/>
      <x:c r="G13" s="14"/>
      <x:c r="H13" s="14"/>
      <x:c r="I13" s="14"/>
      <x:c r="J13" s="14">
        <x:v>2.0</x:v>
      </x:c>
      <x:c r="K13" s="17">
        <x:v>2.0</x:v>
      </x:c>
      <x:c r="L13" s="18">
        <x:v>46144.0</x:v>
      </x:c>
      <x:c r="M13" s="19"/>
      <x:c r="N13" s="27"/>
      <x:c r="O13" s="28"/>
      <x:c r="P13" s="27">
        <x:f t="shared" si="1"/>
        <x:v>0</x:v>
      </x:c>
      <x:c r="Q13" s="29"/>
      <x:c r="R13" s="30"/>
      <x:c r="S13" s="24" t="s">
        <x:v>25</x:v>
      </x:c>
      <x:c r="T13" s="2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14" t="s">
        <x:v>49</x:v>
      </x:c>
      <x:c r="B14" s="15" t="s">
        <x:v>50</x:v>
      </x:c>
      <x:c r="C14" s="14">
        <x:v>3.0</x:v>
      </x:c>
      <x:c r="D14" s="14"/>
      <x:c r="E14" s="14"/>
      <x:c r="F14" s="17"/>
      <x:c r="G14" s="14"/>
      <x:c r="H14" s="14"/>
      <x:c r="I14" s="14"/>
      <x:c r="J14" s="18">
        <x:v>46143.0</x:v>
      </x:c>
      <x:c r="K14" s="17">
        <x:v>2.0</x:v>
      </x:c>
      <x:c r="L14" s="14">
        <x:v>2.0</x:v>
      </x:c>
      <x:c r="M14" s="19"/>
      <x:c r="N14" s="27"/>
      <x:c r="O14" s="27"/>
      <x:c r="P14" s="27">
        <x:f t="shared" si="1"/>
        <x:v>0</x:v>
      </x:c>
      <x:c r="Q14" s="29"/>
      <x:c r="R14" s="30"/>
      <x:c r="S14" s="24" t="s">
        <x:v>25</x:v>
      </x:c>
      <x:c r="T14" s="2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14" t="s">
        <x:v>52</x:v>
      </x:c>
      <x:c r="B15" s="15" t="s">
        <x:v>53</x:v>
      </x:c>
      <x:c r="C15" s="14">
        <x:v>3.0</x:v>
      </x:c>
      <x:c r="D15" s="14"/>
      <x:c r="E15" s="14"/>
      <x:c r="F15" s="17"/>
      <x:c r="G15" s="14"/>
      <x:c r="H15" s="14"/>
      <x:c r="I15" s="14"/>
      <x:c r="J15" s="14">
        <x:v>3.0</x:v>
      </x:c>
      <x:c r="K15" s="17">
        <x:v>3.0</x:v>
      </x:c>
      <x:c r="L15" s="14"/>
      <x:c r="M15" s="19"/>
      <x:c r="N15" s="27"/>
      <x:c r="O15" s="28"/>
      <x:c r="P15" s="27">
        <x:f t="shared" si="1"/>
        <x:v>0</x:v>
      </x:c>
      <x:c r="Q15" s="29"/>
      <x:c r="R15" s="30"/>
      <x:c r="S15" s="24" t="s">
        <x:v>25</x:v>
      </x:c>
      <x:c r="T15" s="2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14" t="s">
        <x:v>55</x:v>
      </x:c>
      <x:c r="B16" s="15" t="s">
        <x:v>56</x:v>
      </x:c>
      <x:c r="C16" s="14">
        <x:v>9.0</x:v>
      </x:c>
      <x:c r="D16" s="14"/>
      <x:c r="E16" s="14"/>
      <x:c r="F16" s="17"/>
      <x:c r="G16" s="14"/>
      <x:c r="H16" s="14"/>
      <x:c r="I16" s="14"/>
      <x:c r="J16" s="18">
        <x:v>46146.0</x:v>
      </x:c>
      <x:c r="K16" s="17">
        <x:v>3.0</x:v>
      </x:c>
      <x:c r="L16" s="14"/>
      <x:c r="M16" s="19"/>
      <x:c r="N16" s="27"/>
      <x:c r="O16" s="28"/>
      <x:c r="P16" s="27">
        <x:f t="shared" si="1"/>
        <x:v>0</x:v>
      </x:c>
      <x:c r="Q16" s="29"/>
      <x:c r="R16" s="30"/>
      <x:c r="S16" s="24" t="s">
        <x:v>57</x:v>
      </x:c>
      <x:c r="T16" s="2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14" t="s">
        <x:v>59</x:v>
      </x:c>
      <x:c r="B17" s="15" t="s">
        <x:v>60</x:v>
      </x:c>
      <x:c r="C17" s="14">
        <x:v>7.0</x:v>
      </x:c>
      <x:c r="D17" s="14"/>
      <x:c r="E17" s="14"/>
      <x:c r="F17" s="17"/>
      <x:c r="G17" s="14"/>
      <x:c r="H17" s="14"/>
      <x:c r="I17" s="14"/>
      <x:c r="J17" s="14">
        <x:v>3.0</x:v>
      </x:c>
      <x:c r="K17" s="17">
        <x:v>2.0</x:v>
      </x:c>
      <x:c r="L17" s="14"/>
      <x:c r="M17" s="19"/>
      <x:c r="N17" s="27"/>
      <x:c r="O17" s="28"/>
      <x:c r="P17" s="27">
        <x:f t="shared" si="1"/>
        <x:v>0</x:v>
      </x:c>
      <x:c r="Q17" s="29"/>
      <x:c r="R17" s="30"/>
      <x:c r="S17" s="24" t="s">
        <x:v>87</x:v>
      </x:c>
      <x:c r="T17" s="2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14" t="s">
        <x:v>62</x:v>
      </x:c>
      <x:c r="B18" s="15" t="s">
        <x:v>63</x:v>
      </x:c>
      <x:c r="C18" s="14">
        <x:v>3.0</x:v>
      </x:c>
      <x:c r="D18" s="14"/>
      <x:c r="E18" s="14"/>
      <x:c r="F18" s="17"/>
      <x:c r="G18" s="14"/>
      <x:c r="H18" s="14"/>
      <x:c r="I18" s="14"/>
      <x:c r="J18" s="14">
        <x:v>2.0</x:v>
      </x:c>
      <x:c r="K18" s="17">
        <x:v>2.0</x:v>
      </x:c>
      <x:c r="L18" s="14"/>
      <x:c r="M18" s="19"/>
      <x:c r="N18" s="27"/>
      <x:c r="O18" s="27"/>
      <x:c r="P18" s="27">
        <x:f t="shared" si="1"/>
        <x:v>0</x:v>
      </x:c>
      <x:c r="Q18" s="29"/>
      <x:c r="R18" s="30"/>
      <x:c r="S18" s="24" t="s">
        <x:v>25</x:v>
      </x:c>
      <x:c r="T18" s="2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14" t="s">
        <x:v>65</x:v>
      </x:c>
      <x:c r="B19" s="15" t="s">
        <x:v>66</x:v>
      </x:c>
      <x:c r="C19" s="14">
        <x:v>8.0</x:v>
      </x:c>
      <x:c r="D19" s="14"/>
      <x:c r="E19" s="14"/>
      <x:c r="F19" s="17"/>
      <x:c r="G19" s="14"/>
      <x:c r="H19" s="14"/>
      <x:c r="I19" s="14"/>
      <x:c r="J19" s="14">
        <x:v>4.0</x:v>
      </x:c>
      <x:c r="K19" s="17">
        <x:v>3.0</x:v>
      </x:c>
      <x:c r="L19" s="14"/>
      <x:c r="M19" s="19"/>
      <x:c r="N19" s="27"/>
      <x:c r="O19" s="27"/>
      <x:c r="P19" s="27">
        <x:f t="shared" si="1"/>
        <x:v>0</x:v>
      </x:c>
      <x:c r="Q19" s="29"/>
      <x:c r="R19" s="30"/>
      <x:c r="S19" s="24" t="s">
        <x:v>57</x:v>
      </x:c>
      <x:c r="T19" s="2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14" t="s">
        <x:v>68</x:v>
      </x:c>
      <x:c r="B20" s="15" t="s">
        <x:v>69</x:v>
      </x:c>
      <x:c r="C20" s="14">
        <x:v>5.0</x:v>
      </x:c>
      <x:c r="D20" s="14"/>
      <x:c r="E20" s="14"/>
      <x:c r="F20" s="17"/>
      <x:c r="G20" s="14"/>
      <x:c r="H20" s="14"/>
      <x:c r="I20" s="14"/>
      <x:c r="J20" s="14">
        <x:v>4.0</x:v>
      </x:c>
      <x:c r="K20" s="17">
        <x:v>3.0</x:v>
      </x:c>
      <x:c r="L20" s="14"/>
      <x:c r="M20" s="19"/>
      <x:c r="N20" s="27"/>
      <x:c r="O20" s="27"/>
      <x:c r="P20" s="27">
        <x:f t="shared" si="1"/>
        <x:v>0</x:v>
      </x:c>
      <x:c r="Q20" s="29"/>
      <x:c r="R20" s="30"/>
      <x:c r="S20" s="24" t="s">
        <x:v>25</x:v>
      </x:c>
      <x:c r="T20" s="2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31" t="s">
        <x:v>71</x:v>
      </x:c>
      <x:c r="B21" s="24" t="s">
        <x:v>72</x:v>
      </x:c>
      <x:c r="C21" s="31">
        <x:v>9.0</x:v>
      </x:c>
      <x:c r="D21" s="31">
        <x:v>9.0</x:v>
      </x:c>
      <x:c r="E21" s="31">
        <x:v>0.0</x:v>
      </x:c>
      <x:c r="F21" s="17"/>
      <x:c r="G21" s="31">
        <x:v>837.311</x:v>
      </x:c>
      <x:c r="H21" s="31">
        <x:v>1.0</x:v>
      </x:c>
      <x:c r="I21" s="31">
        <x:v>273.54</x:v>
      </x:c>
      <x:c r="J21" s="31">
        <x:v>3.0</x:v>
      </x:c>
      <x:c r="K21" s="17">
        <x:v>3.0</x:v>
      </x:c>
      <x:c r="L21" s="31" t="s">
        <x:v>82</x:v>
      </x:c>
      <x:c r="M21" s="19"/>
      <x:c r="N21" s="28">
        <x:v>5534117.0</x:v>
      </x:c>
      <x:c r="O21" s="28">
        <x:v>1097425.0</x:v>
      </x:c>
      <x:c r="P21" s="27">
        <x:f t="shared" si="1"/>
        <x:v>6631542</x:v>
      </x:c>
      <x:c r="Q21" s="35">
        <x:v>1.0</x:v>
      </x:c>
      <x:c r="R21" s="35">
        <x:v>1.0</x:v>
      </x:c>
      <x:c r="S21" s="24" t="s">
        <x:v>57</x:v>
      </x:c>
      <x:c r="T21" s="24" t="s">
        <x:v>88</x:v>
      </x:c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  <x:c r="AC466" s="4"/>
      <x:c r="AD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  <x:c r="AC508" s="4"/>
      <x:c r="AD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  <x:c r="AC509" s="4"/>
      <x:c r="AD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  <x:c r="AC510" s="4"/>
      <x:c r="AD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  <x:c r="AC511" s="4"/>
      <x:c r="AD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  <x:c r="AC512" s="4"/>
      <x:c r="AD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  <x:c r="AC513" s="4"/>
      <x:c r="AD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  <x:c r="AC514" s="4"/>
      <x:c r="AD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  <x:c r="AC515" s="4"/>
      <x:c r="AD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  <x:c r="AC516" s="4"/>
      <x:c r="AD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  <x:c r="AC517" s="4"/>
      <x:c r="AD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  <x:c r="AC518" s="4"/>
      <x:c r="AD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  <x:c r="AC519" s="4"/>
      <x:c r="AD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  <x:c r="AC520" s="4"/>
      <x:c r="AD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  <x:c r="AC521" s="4"/>
      <x:c r="AD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  <x:c r="AC522" s="4"/>
      <x:c r="AD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  <x:c r="AC523" s="4"/>
      <x:c r="AD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  <x:c r="AC524" s="4"/>
      <x:c r="AD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  <x:c r="AB525" s="4"/>
      <x:c r="AC525" s="4"/>
      <x:c r="AD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  <x:c r="AB526" s="4"/>
      <x:c r="AC526" s="4"/>
      <x:c r="AD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  <x:c r="AC527" s="4"/>
      <x:c r="AD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  <x:c r="AC528" s="4"/>
      <x:c r="AD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  <x:c r="AC529" s="4"/>
      <x:c r="AD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  <x:c r="AC530" s="4"/>
      <x:c r="AD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  <x:c r="AC531" s="4"/>
      <x:c r="AD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  <x:c r="AC532" s="4"/>
      <x:c r="AD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  <x:c r="AC533" s="4"/>
      <x:c r="AD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  <x:c r="AC534" s="4"/>
      <x:c r="AD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  <x:c r="AC535" s="4"/>
      <x:c r="AD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  <x:c r="AC536" s="4"/>
      <x:c r="AD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  <x:c r="AC537" s="4"/>
      <x:c r="AD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  <x:c r="AC538" s="4"/>
      <x:c r="AD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  <x:c r="AC539" s="4"/>
      <x:c r="AD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  <x:c r="AC540" s="4"/>
      <x:c r="AD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  <x:c r="AC541" s="4"/>
      <x:c r="AD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  <x:c r="AC542" s="4"/>
      <x:c r="AD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  <x:c r="AC543" s="4"/>
      <x:c r="AD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  <x:c r="AC597" s="4"/>
      <x:c r="AD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  <x:c r="AC598" s="4"/>
      <x:c r="AD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  <x:c r="AC599" s="4"/>
      <x:c r="AD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  <x:c r="AC600" s="4"/>
      <x:c r="AD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  <x:c r="AC601" s="4"/>
      <x:c r="AD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  <x:c r="AC602" s="4"/>
      <x:c r="AD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  <x:c r="AC603" s="4"/>
      <x:c r="AD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  <x:c r="AC604" s="4"/>
      <x:c r="AD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  <x:c r="AC605" s="4"/>
      <x:c r="AD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  <x:c r="AC606" s="4"/>
      <x:c r="AD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  <x:c r="AC607" s="4"/>
      <x:c r="AD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  <x:c r="AC608" s="4"/>
      <x:c r="AD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  <x:c r="AC609" s="4"/>
      <x:c r="AD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  <x:c r="AC610" s="4"/>
      <x:c r="AD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  <x:c r="AC611" s="4"/>
      <x:c r="AD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  <x:c r="AC612" s="4"/>
      <x:c r="AD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  <x:c r="AC613" s="4"/>
      <x:c r="AD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  <x:c r="AB614" s="4"/>
      <x:c r="AC614" s="4"/>
      <x:c r="AD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  <x:c r="AB615" s="4"/>
      <x:c r="AC615" s="4"/>
      <x:c r="AD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  <x:c r="AC616" s="4"/>
      <x:c r="AD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  <x:c r="AC617" s="4"/>
      <x:c r="AD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  <x:c r="AC618" s="4"/>
      <x:c r="AD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  <x:c r="AC619" s="4"/>
      <x:c r="AD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  <x:c r="AC620" s="4"/>
      <x:c r="AD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  <x:c r="AC621" s="4"/>
      <x:c r="AD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  <x:c r="AC622" s="4"/>
      <x:c r="AD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  <x:c r="AC623" s="4"/>
      <x:c r="AD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  <x:c r="AC624" s="4"/>
      <x:c r="AD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  <x:c r="AC625" s="4"/>
      <x:c r="AD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  <x:c r="AC626" s="4"/>
      <x:c r="AD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  <x:c r="AC627" s="4"/>
      <x:c r="AD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  <x:c r="AC628" s="4"/>
      <x:c r="AD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  <x:c r="AC629" s="4"/>
      <x:c r="AD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  <x:c r="AC630" s="4"/>
      <x:c r="AD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  <x:c r="AC631" s="4"/>
      <x:c r="AD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  <x:c r="AC632" s="4"/>
      <x:c r="AD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  <x:c r="AC720" s="4"/>
      <x:c r="AD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  <x:c r="AC721" s="4"/>
      <x:c r="AD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  <x:c r="AC722" s="4"/>
      <x:c r="AD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  <x:c r="AC723" s="4"/>
      <x:c r="AD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  <x:c r="AC724" s="4"/>
      <x:c r="AD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  <x:c r="AC725" s="4"/>
      <x:c r="AD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  <x:c r="AC726" s="4"/>
      <x:c r="AD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  <x:c r="AC727" s="4"/>
      <x:c r="AD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  <x:c r="AC728" s="4"/>
      <x:c r="AD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  <x:c r="AC729" s="4"/>
      <x:c r="AD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  <x:c r="AC730" s="4"/>
      <x:c r="AD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  <x:c r="AC731" s="4"/>
      <x:c r="AD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  <x:c r="AC732" s="4"/>
      <x:c r="AD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  <x:c r="AC733" s="4"/>
      <x:c r="AD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  <x:c r="AC734" s="4"/>
      <x:c r="AD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  <x:c r="AC735" s="4"/>
      <x:c r="AD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  <x:c r="AC736" s="4"/>
      <x:c r="AD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  <x:c r="AB737" s="4"/>
      <x:c r="AC737" s="4"/>
      <x:c r="AD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  <x:c r="AB738" s="4"/>
      <x:c r="AC738" s="4"/>
      <x:c r="AD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  <x:c r="AB739" s="4"/>
      <x:c r="AC739" s="4"/>
      <x:c r="AD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  <x:c r="AB740" s="4"/>
      <x:c r="AC740" s="4"/>
      <x:c r="AD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  <x:c r="AB741" s="4"/>
      <x:c r="AC741" s="4"/>
      <x:c r="AD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  <x:c r="AB742" s="4"/>
      <x:c r="AC742" s="4"/>
      <x:c r="AD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  <x:c r="AB743" s="4"/>
      <x:c r="AC743" s="4"/>
      <x:c r="AD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  <x:c r="AB744" s="4"/>
      <x:c r="AC744" s="4"/>
      <x:c r="AD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  <x:c r="AC745" s="4"/>
      <x:c r="AD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  <x:c r="AC746" s="4"/>
      <x:c r="AD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  <x:c r="AC747" s="4"/>
      <x:c r="AD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  <x:c r="AC748" s="4"/>
      <x:c r="AD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  <x:c r="AC749" s="4"/>
      <x:c r="AD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  <x:c r="AC750" s="4"/>
      <x:c r="AD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  <x:c r="AC751" s="4"/>
      <x:c r="AD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  <x:c r="AC752" s="4"/>
      <x:c r="AD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  <x:c r="AC753" s="4"/>
      <x:c r="AD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  <x:c r="AC754" s="4"/>
      <x:c r="AD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  <x:c r="AC755" s="4"/>
      <x:c r="AD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  <x:c r="AC756" s="4"/>
      <x:c r="AD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  <x:c r="AC757" s="4"/>
      <x:c r="AD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  <x:c r="AC758" s="4"/>
      <x:c r="AD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  <x:c r="AC759" s="4"/>
      <x:c r="AD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  <x:c r="AC760" s="4"/>
      <x:c r="AD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  <x:c r="AC761" s="4"/>
      <x:c r="AD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  <x:c r="AC838" s="4"/>
      <x:c r="AD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  <x:c r="AC839" s="4"/>
      <x:c r="AD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  <x:c r="AC840" s="4"/>
      <x:c r="AD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  <x:c r="AC852" s="4"/>
      <x:c r="AD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  <x:c r="AC853" s="4"/>
      <x:c r="AD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  <x:c r="AC854" s="4"/>
      <x:c r="AD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  <x:c r="AC855" s="4"/>
      <x:c r="AD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  <x:c r="AC856" s="4"/>
      <x:c r="AD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  <x:c r="AC857" s="4"/>
      <x:c r="AD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  <x:c r="AC858" s="4"/>
      <x:c r="AD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  <x:c r="AC859" s="4"/>
      <x:c r="AD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  <x:c r="AC860" s="4"/>
      <x:c r="AD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  <x:c r="AC861" s="4"/>
      <x:c r="AD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  <x:c r="AC862" s="4"/>
      <x:c r="AD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  <x:c r="AC864" s="4"/>
      <x:c r="AD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  <x:c r="AC865" s="4"/>
      <x:c r="AD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  <x:c r="AC866" s="4"/>
      <x:c r="AD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  <x:c r="AC867" s="4"/>
      <x:c r="AD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  <x:c r="AC868" s="4"/>
      <x:c r="AD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  <x:c r="AC869" s="4"/>
      <x:c r="AD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  <x:c r="AC870" s="4"/>
      <x:c r="AD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  <x:c r="AC871" s="4"/>
      <x:c r="AD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  <x:c r="AC872" s="4"/>
      <x:c r="AD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  <x:c r="AC873" s="4"/>
      <x:c r="AD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  <x:c r="AC874" s="4"/>
      <x:c r="AD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  <x:c r="AC875" s="4"/>
      <x:c r="AD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  <x:c r="AC876" s="4"/>
      <x:c r="AD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  <x:c r="AC877" s="4"/>
      <x:c r="AD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  <x:c r="AC878" s="4"/>
      <x:c r="AD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  <x:c r="AC879" s="4"/>
      <x:c r="AD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  <x:c r="AC880" s="4"/>
      <x:c r="AD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  <x:c r="AC881" s="4"/>
      <x:c r="AD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  <x:c r="AC916" s="4"/>
      <x:c r="AD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  <x:c r="AC917" s="4"/>
      <x:c r="AD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  <x:c r="AC918" s="4"/>
      <x:c r="AD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  <x:c r="AC930" s="4"/>
      <x:c r="AD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  <x:c r="AC931" s="4"/>
      <x:c r="AD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  <x:c r="AC932" s="4"/>
      <x:c r="AD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  <x:c r="AC933" s="4"/>
      <x:c r="AD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  <x:c r="AC934" s="4"/>
      <x:c r="AD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  <x:c r="AC935" s="4"/>
      <x:c r="AD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  <x:c r="AC936" s="4"/>
      <x:c r="AD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  <x:c r="AC937" s="4"/>
      <x:c r="AD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  <x:c r="AC938" s="4"/>
      <x:c r="AD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  <x:c r="AC939" s="4"/>
      <x:c r="AD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  <x:c r="AC940" s="4"/>
      <x:c r="AD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  <x:c r="AC942" s="4"/>
      <x:c r="AD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  <x:c r="AC943" s="4"/>
      <x:c r="AD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  <x:c r="AC944" s="4"/>
      <x:c r="AD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  <x:c r="AC945" s="4"/>
      <x:c r="AD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  <x:c r="AC946" s="4"/>
      <x:c r="AD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  <x:c r="AC947" s="4"/>
      <x:c r="AD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  <x:c r="AC948" s="4"/>
      <x:c r="AD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  <x:c r="AC949" s="4"/>
      <x:c r="AD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  <x:c r="AC950" s="4"/>
      <x:c r="AD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  <x:c r="AC951" s="4"/>
      <x:c r="AD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  <x:c r="AC952" s="4"/>
      <x:c r="AD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  <x:c r="AC953" s="4"/>
      <x:c r="AD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  <x:c r="AC954" s="4"/>
      <x:c r="AD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  <x:c r="AC955" s="4"/>
      <x:c r="AD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  <x:c r="AC956" s="4"/>
      <x:c r="AD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  <x:c r="AC957" s="4"/>
      <x:c r="AD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  <x:c r="AB958" s="4"/>
      <x:c r="AC958" s="4"/>
      <x:c r="AD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  <x:c r="AB959" s="4"/>
      <x:c r="AC959" s="4"/>
      <x:c r="AD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  <x:c r="AC960" s="4"/>
      <x:c r="AD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  <x:c r="AC961" s="4"/>
      <x:c r="AD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  <x:c r="AC962" s="4"/>
      <x:c r="AD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  <x:c r="AC963" s="4"/>
      <x:c r="AD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  <x:c r="AC964" s="4"/>
      <x:c r="AD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  <x:c r="AC965" s="4"/>
      <x:c r="AD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  <x:c r="AC966" s="4"/>
      <x:c r="AD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  <x:c r="AC967" s="4"/>
      <x:c r="AD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  <x:c r="AC968" s="4"/>
      <x:c r="AD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  <x:c r="AC969" s="4"/>
      <x:c r="AD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  <x:c r="AC970" s="4"/>
      <x:c r="AD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  <x:c r="AC971" s="4"/>
      <x:c r="AD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  <x:c r="AC972" s="4"/>
      <x:c r="AD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  <x:c r="AC973" s="4"/>
      <x:c r="AD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  <x:c r="AC974" s="4"/>
      <x:c r="AD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  <x:c r="AC975" s="4"/>
      <x:c r="AD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  <x:c r="AC976" s="4"/>
      <x:c r="AD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  <x:c r="AC977" s="4"/>
      <x:c r="AD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  <x:c r="AC978" s="4"/>
      <x:c r="AD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  <x:c r="AC979" s="4"/>
      <x:c r="AD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  <x:c r="AC980" s="4"/>
      <x:c r="AD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  <x:c r="AC981" s="4"/>
      <x:c r="AD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  <x:c r="AC982" s="4"/>
      <x:c r="AD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  <x:c r="AC983" s="4"/>
      <x:c r="AD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  <x:c r="AC984" s="4"/>
      <x:c r="AD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  <x:c r="AC985" s="4"/>
      <x:c r="AD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  <x:c r="AC986" s="4"/>
      <x:c r="AD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  <x:c r="AC987" s="4"/>
      <x:c r="AD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  <x:c r="AC988" s="4"/>
      <x:c r="AD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  <x:c r="AC989" s="4"/>
      <x:c r="AD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  <x:c r="AC990" s="4"/>
      <x:c r="AD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  <x:c r="AC991" s="4"/>
      <x:c r="AD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  <x:c r="AC992" s="4"/>
      <x:c r="AD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  <x:c r="AC993" s="4"/>
      <x:c r="AD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  <x:c r="AC994" s="4"/>
      <x:c r="AD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  <x:c r="AC995" s="4"/>
      <x:c r="AD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  <x:c r="AC996" s="4"/>
      <x:c r="AD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  <x:c r="AC997" s="4"/>
      <x:c r="AD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  <x:c r="AC998" s="4"/>
      <x:c r="AD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  <x:c r="AB999" s="4"/>
      <x:c r="AC999" s="4"/>
      <x:c r="AD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  <x:c r="AB1000" s="4"/>
      <x:c r="AC1000" s="4"/>
      <x:c r="AD1000" s="4"/>
    </x:row>
    <x:row r="1001">
      <x:c r="A1001" s="4"/>
      <x:c r="B1001" s="4"/>
      <x:c r="C1001" s="4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  <x:c r="Z1001" s="4"/>
      <x:c r="AA1001" s="4"/>
      <x:c r="AB1001" s="4"/>
      <x:c r="AC1001" s="4"/>
      <x:c r="AD1001" s="4"/>
    </x:row>
    <x:row r="1002">
      <x:c r="A1002" s="4"/>
      <x:c r="B1002" s="4"/>
      <x:c r="C1002" s="4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  <x:c r="Z1002" s="4"/>
      <x:c r="AA1002" s="4"/>
      <x:c r="AB1002" s="4"/>
      <x:c r="AC1002" s="4"/>
      <x:c r="AD1002" s="4"/>
    </x:row>
    <x:row r="1003">
      <x:c r="A1003" s="4"/>
      <x:c r="B1003" s="4"/>
      <x:c r="C1003" s="4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  <x:c r="Z1003" s="4"/>
      <x:c r="AA1003" s="4"/>
      <x:c r="AB1003" s="4"/>
      <x:c r="AC1003" s="4"/>
      <x:c r="AD1003" s="4"/>
    </x:row>
    <x:row r="1004">
      <x:c r="A1004" s="4"/>
      <x:c r="B1004" s="4"/>
      <x:c r="C1004" s="4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  <x:c r="Z1004" s="4"/>
      <x:c r="AA1004" s="4"/>
      <x:c r="AB1004" s="4"/>
      <x:c r="AC1004" s="4"/>
      <x:c r="AD1004" s="4"/>
    </x:row>
    <x:row r="1005">
      <x:c r="A1005" s="4"/>
      <x:c r="B1005" s="4"/>
      <x:c r="C1005" s="4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  <x:c r="Z1005" s="4"/>
      <x:c r="AA1005" s="4"/>
      <x:c r="AB1005" s="4"/>
      <x:c r="AC1005" s="4"/>
      <x:c r="AD1005" s="4"/>
    </x:row>
    <x:row r="1006">
      <x:c r="A1006" s="4"/>
      <x:c r="B1006" s="4"/>
      <x:c r="C1006" s="4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  <x:c r="Z1006" s="4"/>
      <x:c r="AA1006" s="4"/>
      <x:c r="AB1006" s="4"/>
      <x:c r="AC1006" s="4"/>
      <x:c r="AD1006" s="4"/>
    </x:row>
    <x:row r="1007">
      <x:c r="A1007" s="4"/>
      <x:c r="B1007" s="4"/>
      <x:c r="C1007" s="4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  <x:c r="Z1007" s="4"/>
      <x:c r="AA1007" s="4"/>
      <x:c r="AB1007" s="4"/>
      <x:c r="AC1007" s="4"/>
      <x:c r="AD1007" s="4"/>
    </x:row>
    <x:row r="1008">
      <x:c r="A1008" s="4"/>
      <x:c r="B1008" s="4"/>
      <x:c r="C1008" s="4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  <x:c r="Z1008" s="4"/>
      <x:c r="AA1008" s="4"/>
      <x:c r="AB1008" s="4"/>
      <x:c r="AC1008" s="4"/>
      <x:c r="AD1008" s="4"/>
    </x:row>
    <x:row r="1009">
      <x:c r="A1009" s="4"/>
      <x:c r="B1009" s="4"/>
      <x:c r="C1009" s="4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  <x:c r="Z1009" s="4"/>
      <x:c r="AA1009" s="4"/>
      <x:c r="AB1009" s="4"/>
      <x:c r="AC1009" s="4"/>
      <x:c r="AD1009" s="4"/>
    </x:row>
    <x:row r="1010">
      <x:c r="A1010" s="4"/>
      <x:c r="B1010" s="4"/>
      <x:c r="C1010" s="4"/>
      <x:c r="D1010" s="4"/>
      <x:c r="E1010" s="4"/>
      <x:c r="F1010" s="4"/>
      <x:c r="G1010" s="4"/>
      <x:c r="H1010" s="4"/>
      <x:c r="I1010" s="4"/>
      <x:c r="J1010" s="4"/>
      <x:c r="K1010" s="4"/>
      <x:c r="L1010" s="4"/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4"/>
      <x:c r="W1010" s="4"/>
      <x:c r="X1010" s="4"/>
      <x:c r="Y1010" s="4"/>
      <x:c r="Z1010" s="4"/>
      <x:c r="AA1010" s="4"/>
      <x:c r="AB1010" s="4"/>
      <x:c r="AC1010" s="4"/>
      <x:c r="AD1010" s="4"/>
    </x:row>
    <x:row r="1011">
      <x:c r="A1011" s="4"/>
      <x:c r="B1011" s="4"/>
      <x:c r="C1011" s="4"/>
      <x:c r="D1011" s="4"/>
      <x:c r="E1011" s="4"/>
      <x:c r="F1011" s="4"/>
      <x:c r="G1011" s="4"/>
      <x:c r="H1011" s="4"/>
      <x:c r="I1011" s="4"/>
      <x:c r="J1011" s="4"/>
      <x:c r="K1011" s="4"/>
      <x:c r="L1011" s="4"/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4"/>
      <x:c r="W1011" s="4"/>
      <x:c r="X1011" s="4"/>
      <x:c r="Y1011" s="4"/>
      <x:c r="Z1011" s="4"/>
      <x:c r="AA1011" s="4"/>
      <x:c r="AB1011" s="4"/>
      <x:c r="AC1011" s="4"/>
      <x:c r="AD1011" s="4"/>
    </x:row>
  </x:sheetData>
  <x:mergeCells>
    <x:mergeCell ref="F3:F4"/>
    <x:mergeCell ref="G3:G4"/>
    <x:mergeCell ref="H3:H4"/>
    <x:mergeCell ref="I3:I4"/>
    <x:mergeCell ref="J3:L3"/>
    <x:mergeCell ref="M3:M4"/>
    <x:mergeCell ref="N3:N4"/>
    <x:mergeCell ref="O3:O4"/>
    <x:mergeCell ref="P3:P4"/>
    <x:mergeCell ref="Q3:Q4"/>
    <x:mergeCell ref="R3:R4"/>
    <x:mergeCell ref="S3:S4"/>
    <x:mergeCell ref="A1:T1"/>
    <x:mergeCell ref="A2:T2"/>
    <x:mergeCell ref="A3:A4"/>
    <x:mergeCell ref="B3:B4"/>
    <x:mergeCell ref="C3:C4"/>
    <x:mergeCell ref="D3:D4"/>
    <x:mergeCell ref="E3:E4"/>
  </x:mergeCells>
  <x:hyperlinks>
    <x:hyperlink xmlns:r="http://schemas.openxmlformats.org/officeDocument/2006/relationships" ref="A2" r:id="R422597689e70482f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8.25" customWidth="1"/>
    <x:col min="2" max="2" width="26.6299991607666" customWidth="1"/>
    <x:col min="6" max="6" width="12.630000114440918" customWidth="1"/>
    <x:col min="10" max="12" width="13.880000114440918" customWidth="1"/>
    <x:col min="13" max="13" width="12.630000114440918" customWidth="1"/>
    <x:col min="20" max="20" width="30.75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3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5" t="s">
        <x:v>89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3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 ht="27.75" customHeight="1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7" t="s">
        <x:v>7</x:v>
      </x:c>
      <x:c r="G3" s="8" t="s">
        <x:v>8</x:v>
      </x:c>
      <x:c r="H3" s="6" t="s">
        <x:v>9</x:v>
      </x:c>
      <x:c r="I3" s="8" t="s">
        <x:v>10</x:v>
      </x:c>
      <x:c r="J3" s="9" t="s">
        <x:v>11</x:v>
      </x:c>
      <x:c r="K3" s="2"/>
      <x:c r="L3" s="3"/>
      <x:c r="M3" s="7" t="s">
        <x:v>12</x:v>
      </x:c>
      <x:c r="N3" s="6" t="s">
        <x:v>13</x:v>
      </x:c>
      <x:c r="O3" s="6" t="s">
        <x:v>14</x:v>
      </x:c>
      <x:c r="P3" s="6" t="s">
        <x:v>15</x:v>
      </x:c>
      <x:c r="Q3" s="6" t="s">
        <x:v>16</x:v>
      </x:c>
      <x:c r="R3" s="10" t="s">
        <x:v>17</x:v>
      </x:c>
      <x:c r="S3" s="10" t="s">
        <x:v>18</x:v>
      </x:c>
      <x:c r="T3" s="11" t="s">
        <x:v>19</x:v>
      </x:c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5.5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3" t="s">
        <x:v>20</x:v>
      </x:c>
      <x:c r="K4" s="13" t="s">
        <x:v>21</x:v>
      </x:c>
      <x:c r="L4" s="13" t="s">
        <x:v>22</x:v>
      </x:c>
      <x:c r="M4" s="12"/>
      <x:c r="N4" s="12"/>
      <x:c r="O4" s="12"/>
      <x:c r="P4" s="12"/>
      <x:c r="Q4" s="12"/>
      <x:c r="R4" s="12"/>
      <x:c r="S4" s="12"/>
      <x:c r="T4" s="11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14" t="s">
        <x:v>23</x:v>
      </x:c>
      <x:c r="B5" s="15" t="s">
        <x:v>24</x:v>
      </x:c>
      <x:c r="C5" s="14">
        <x:v>11.0</x:v>
      </x:c>
      <x:c r="D5" s="14">
        <x:v>11.0</x:v>
      </x:c>
      <x:c r="E5" s="14">
        <x:v>0.0</x:v>
      </x:c>
      <x:c r="F5" s="17"/>
      <x:c r="G5" s="14">
        <x:v>701.0</x:v>
      </x:c>
      <x:c r="H5" s="14">
        <x:v>0.0</x:v>
      </x:c>
      <x:c r="I5" s="14">
        <x:v>0.0</x:v>
      </x:c>
      <x:c r="J5" s="18">
        <x:v>46145.0</x:v>
      </x:c>
      <x:c r="K5" s="17">
        <x:v>4.0</x:v>
      </x:c>
      <x:c r="L5" s="14"/>
      <x:c r="M5" s="19"/>
      <x:c r="N5" s="27">
        <x:v>4365831.0</x:v>
      </x:c>
      <x:c r="O5" s="36">
        <x:v>0.0</x:v>
      </x:c>
      <x:c r="P5" s="27" t="n">
        <x:f t="shared" ref="P5:P21" si="1">SUM(M5:O5)</x:f>
        <x:v>4365831</x:v>
      </x:c>
      <x:c r="Q5" s="29">
        <x:v>1.0</x:v>
      </x:c>
      <x:c r="R5" s="30">
        <x:v>1.0</x:v>
      </x:c>
      <x:c r="S5" s="24" t="s">
        <x:v>57</x:v>
      </x:c>
      <x:c r="T5" s="2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14" t="s">
        <x:v>26</x:v>
      </x:c>
      <x:c r="B6" s="15" t="s">
        <x:v>27</x:v>
      </x:c>
      <x:c r="C6" s="14">
        <x:v>6.0</x:v>
      </x:c>
      <x:c r="D6" s="14">
        <x:v>5.0</x:v>
      </x:c>
      <x:c r="E6" s="14">
        <x:v>1.0</x:v>
      </x:c>
      <x:c r="F6" s="37"/>
      <x:c r="G6" s="27">
        <x:v>363378.0</x:v>
      </x:c>
      <x:c r="H6" s="14">
        <x:v>1.0</x:v>
      </x:c>
      <x:c r="I6" s="14" t="s">
        <x:v>90</x:v>
      </x:c>
      <x:c r="J6" s="14">
        <x:v>3.0</x:v>
      </x:c>
      <x:c r="K6" s="17">
        <x:v>4.0</x:v>
      </x:c>
      <x:c r="L6" s="14">
        <x:v>3.0</x:v>
      </x:c>
      <x:c r="M6" s="19"/>
      <x:c r="N6" s="27">
        <x:v>2784642.0</x:v>
      </x:c>
      <x:c r="O6" s="28">
        <x:v>1306752.0</x:v>
      </x:c>
      <x:c r="P6" s="27">
        <x:f t="shared" si="1"/>
        <x:v>4091394</x:v>
      </x:c>
      <x:c r="Q6" s="29">
        <x:v>0.98</x:v>
      </x:c>
      <x:c r="R6" s="30">
        <x:v>1.0</x:v>
      </x:c>
      <x:c r="S6" s="24" t="s">
        <x:v>25</x:v>
      </x:c>
      <x:c r="T6" s="2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14" t="s">
        <x:v>30</x:v>
      </x:c>
      <x:c r="B7" s="15" t="s">
        <x:v>31</x:v>
      </x:c>
      <x:c r="C7" s="14">
        <x:v>6.0</x:v>
      </x:c>
      <x:c r="D7" s="14">
        <x:v>6.0</x:v>
      </x:c>
      <x:c r="E7" s="14">
        <x:v>0.0</x:v>
      </x:c>
      <x:c r="F7" s="17"/>
      <x:c r="G7" s="14">
        <x:v>425.0</x:v>
      </x:c>
      <x:c r="H7" s="14">
        <x:v>1.0</x:v>
      </x:c>
      <x:c r="I7" s="14">
        <x:v>485.0</x:v>
      </x:c>
      <x:c r="J7" s="14">
        <x:v>3.0</x:v>
      </x:c>
      <x:c r="K7" s="17">
        <x:v>4.0</x:v>
      </x:c>
      <x:c r="L7" s="14"/>
      <x:c r="M7" s="19"/>
      <x:c r="N7" s="27">
        <x:v>1374442.0</x:v>
      </x:c>
      <x:c r="O7" s="28">
        <x:v>2320372.0</x:v>
      </x:c>
      <x:c r="P7" s="27">
        <x:f t="shared" si="1"/>
        <x:v>3694814</x:v>
      </x:c>
      <x:c r="Q7" s="29">
        <x:v>0.9</x:v>
      </x:c>
      <x:c r="R7" s="30">
        <x:v>1.0</x:v>
      </x:c>
      <x:c r="S7" s="24" t="s">
        <x:v>25</x:v>
      </x:c>
      <x:c r="T7" s="24" t="s">
        <x:v>91</x:v>
      </x:c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14" t="s">
        <x:v>32</x:v>
      </x:c>
      <x:c r="B8" s="15" t="s">
        <x:v>33</x:v>
      </x:c>
      <x:c r="C8" s="14">
        <x:v>6.0</x:v>
      </x:c>
      <x:c r="D8" s="14">
        <x:v>5.0</x:v>
      </x:c>
      <x:c r="E8" s="14">
        <x:v>1.0</x:v>
      </x:c>
      <x:c r="F8" s="17"/>
      <x:c r="G8" s="14">
        <x:v>529.0</x:v>
      </x:c>
      <x:c r="H8" s="14"/>
      <x:c r="I8" s="14"/>
      <x:c r="J8" s="14">
        <x:v>3.0</x:v>
      </x:c>
      <x:c r="K8" s="17">
        <x:v>6.0</x:v>
      </x:c>
      <x:c r="L8" s="14"/>
      <x:c r="M8" s="19"/>
      <x:c r="N8" s="27">
        <x:v>2136300.0</x:v>
      </x:c>
      <x:c r="O8" s="28"/>
      <x:c r="P8" s="27">
        <x:f t="shared" si="1"/>
        <x:v>2136300</x:v>
      </x:c>
      <x:c r="Q8" s="29">
        <x:v>0.8</x:v>
      </x:c>
      <x:c r="R8" s="30">
        <x:v>0.9</x:v>
      </x:c>
      <x:c r="S8" s="24" t="s">
        <x:v>25</x:v>
      </x:c>
      <x:c r="T8" s="24" t="s">
        <x:v>92</x:v>
      </x:c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14" t="s">
        <x:v>34</x:v>
      </x:c>
      <x:c r="B9" s="15" t="s">
        <x:v>35</x:v>
      </x:c>
      <x:c r="C9" s="14">
        <x:v>6.0</x:v>
      </x:c>
      <x:c r="D9" s="14">
        <x:v>5.0</x:v>
      </x:c>
      <x:c r="E9" s="14">
        <x:v>1.0</x:v>
      </x:c>
      <x:c r="F9" s="37"/>
      <x:c r="G9" s="38">
        <x:v>411669.0</x:v>
      </x:c>
      <x:c r="H9" s="14">
        <x:v>3.0</x:v>
      </x:c>
      <x:c r="I9" s="14" t="s">
        <x:v>93</x:v>
      </x:c>
      <x:c r="J9" s="18">
        <x:v>46144.0</x:v>
      </x:c>
      <x:c r="K9" s="17">
        <x:v>3.0</x:v>
      </x:c>
      <x:c r="L9" s="14">
        <x:v>3.0</x:v>
      </x:c>
      <x:c r="M9" s="39"/>
      <x:c r="N9" s="40">
        <x:v>3018749.0</x:v>
      </x:c>
      <x:c r="O9" s="40">
        <x:v>6471833.0</x:v>
      </x:c>
      <x:c r="P9" s="40">
        <x:f t="shared" si="1"/>
        <x:v>9490582</x:v>
      </x:c>
      <x:c r="Q9" s="41">
        <x:v>0.9</x:v>
      </x:c>
      <x:c r="R9" s="41">
        <x:v>0.9</x:v>
      </x:c>
      <x:c r="S9" s="24" t="s">
        <x:v>25</x:v>
      </x:c>
      <x:c r="T9" s="24" t="s">
        <x:v>94</x:v>
      </x:c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14" t="s">
        <x:v>37</x:v>
      </x:c>
      <x:c r="B10" s="15" t="s">
        <x:v>38</x:v>
      </x:c>
      <x:c r="C10" s="42">
        <x:v>10.0</x:v>
      </x:c>
      <x:c r="D10" s="42">
        <x:v>3.0</x:v>
      </x:c>
      <x:c r="E10" s="42" t="n">
        <x:f t="shared" ref="E10:E14" si="2">C10 - D10</x:f>
        <x:v>7</x:v>
      </x:c>
      <x:c r="F10" s="37"/>
      <x:c r="G10" s="27">
        <x:v>177311.0</x:v>
      </x:c>
      <x:c r="H10" s="14">
        <x:v>9.0</x:v>
      </x:c>
      <x:c r="I10" s="14" t="s">
        <x:v>95</x:v>
      </x:c>
      <x:c r="J10" s="14">
        <x:v>3.0</x:v>
      </x:c>
      <x:c r="K10" s="17">
        <x:v>3.0</x:v>
      </x:c>
      <x:c r="L10" s="14">
        <x:v>4.0</x:v>
      </x:c>
      <x:c r="M10" s="39"/>
      <x:c r="N10" s="40">
        <x:v>1577942.0</x:v>
      </x:c>
      <x:c r="O10" s="40">
        <x:v>1.4512414E7</x:v>
      </x:c>
      <x:c r="P10" s="40">
        <x:f t="shared" si="1"/>
        <x:v>16090356</x:v>
      </x:c>
      <x:c r="Q10" s="43">
        <x:v>0.95</x:v>
      </x:c>
      <x:c r="R10" s="41" t="s">
        <x:v>96</x:v>
      </x:c>
      <x:c r="S10" s="24" t="s">
        <x:v>25</x:v>
      </x:c>
      <x:c r="T10" s="2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14" t="s">
        <x:v>40</x:v>
      </x:c>
      <x:c r="B11" s="15" t="s">
        <x:v>41</x:v>
      </x:c>
      <x:c r="C11" s="42">
        <x:v>6.0</x:v>
      </x:c>
      <x:c r="D11" s="42">
        <x:v>3.0</x:v>
      </x:c>
      <x:c r="E11" s="42">
        <x:f t="shared" si="2"/>
        <x:v>3</x:v>
      </x:c>
      <x:c r="F11" s="37"/>
      <x:c r="G11" s="27">
        <x:v>156201.0</x:v>
      </x:c>
      <x:c r="H11" s="14">
        <x:v>5.0</x:v>
      </x:c>
      <x:c r="I11" s="14" t="s">
        <x:v>97</x:v>
      </x:c>
      <x:c r="J11" s="18">
        <x:v>46144.0</x:v>
      </x:c>
      <x:c r="K11" s="17">
        <x:v>3.0</x:v>
      </x:c>
      <x:c r="L11" s="42">
        <x:v>3.0</x:v>
      </x:c>
      <x:c r="M11" s="39"/>
      <x:c r="N11" s="44">
        <x:v>2054078.0</x:v>
      </x:c>
      <x:c r="O11" s="44">
        <x:v>1.4863738E7</x:v>
      </x:c>
      <x:c r="P11" s="40">
        <x:f t="shared" si="1"/>
        <x:v>16917816</x:v>
      </x:c>
      <x:c r="Q11" s="41">
        <x:v>0.9</x:v>
      </x:c>
      <x:c r="R11" s="41" t="s">
        <x:v>98</x:v>
      </x:c>
      <x:c r="S11" s="24" t="s">
        <x:v>25</x:v>
      </x:c>
      <x:c r="T11" s="2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14" t="s">
        <x:v>43</x:v>
      </x:c>
      <x:c r="B12" s="15" t="s">
        <x:v>44</x:v>
      </x:c>
      <x:c r="C12" s="42">
        <x:v>8.0</x:v>
      </x:c>
      <x:c r="D12" s="42">
        <x:v>7.0</x:v>
      </x:c>
      <x:c r="E12" s="42">
        <x:f t="shared" si="2"/>
        <x:v>1</x:v>
      </x:c>
      <x:c r="F12" s="17"/>
      <x:c r="G12" s="14" t="s">
        <x:v>99</x:v>
      </x:c>
      <x:c r="H12" s="14">
        <x:v>1.0</x:v>
      </x:c>
      <x:c r="I12" s="14" t="s">
        <x:v>100</x:v>
      </x:c>
      <x:c r="J12" s="14">
        <x:v>2.0</x:v>
      </x:c>
      <x:c r="K12" s="17">
        <x:v>2.0</x:v>
      </x:c>
      <x:c r="L12" s="14">
        <x:v>4.0</x:v>
      </x:c>
      <x:c r="M12" s="39"/>
      <x:c r="N12" s="44">
        <x:v>6651740.0</x:v>
      </x:c>
      <x:c r="O12" s="44">
        <x:v>3013039.0</x:v>
      </x:c>
      <x:c r="P12" s="44">
        <x:f t="shared" si="1"/>
        <x:v>9664779</x:v>
      </x:c>
      <x:c r="Q12" s="43">
        <x:v>0.95</x:v>
      </x:c>
      <x:c r="R12" s="43" t="s">
        <x:v>101</x:v>
      </x:c>
      <x:c r="S12" s="24" t="s">
        <x:v>25</x:v>
      </x:c>
      <x:c r="T12" s="24" t="s">
        <x:v>102</x:v>
      </x:c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14" t="s">
        <x:v>103</x:v>
      </x:c>
      <x:c r="B13" s="15" t="s">
        <x:v>47</x:v>
      </x:c>
      <x:c r="C13" s="42">
        <x:v>8.0</x:v>
      </x:c>
      <x:c r="D13" s="42">
        <x:v>7.0</x:v>
      </x:c>
      <x:c r="E13" s="42">
        <x:f t="shared" si="2"/>
        <x:v>1</x:v>
      </x:c>
      <x:c r="F13" s="37"/>
      <x:c r="G13" s="27">
        <x:v>57671.0</x:v>
      </x:c>
      <x:c r="H13" s="14">
        <x:v>1.0</x:v>
      </x:c>
      <x:c r="I13" s="14" t="s">
        <x:v>104</x:v>
      </x:c>
      <x:c r="J13" s="14">
        <x:v>2.0</x:v>
      </x:c>
      <x:c r="K13" s="17">
        <x:v>2.0</x:v>
      </x:c>
      <x:c r="L13" s="14">
        <x:v>2.0</x:v>
      </x:c>
      <x:c r="M13" s="39"/>
      <x:c r="N13" s="44">
        <x:v>4623082.0</x:v>
      </x:c>
      <x:c r="O13" s="44">
        <x:v>2728505.0</x:v>
      </x:c>
      <x:c r="P13" s="40">
        <x:f t="shared" si="1"/>
        <x:v>7351587</x:v>
      </x:c>
      <x:c r="Q13" s="43">
        <x:v>0.95</x:v>
      </x:c>
      <x:c r="R13" s="43" t="s">
        <x:v>105</x:v>
      </x:c>
      <x:c r="S13" s="24" t="s">
        <x:v>25</x:v>
      </x:c>
      <x:c r="T13" s="24" t="s">
        <x:v>106</x:v>
      </x:c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14" t="s">
        <x:v>49</x:v>
      </x:c>
      <x:c r="B14" s="15" t="s">
        <x:v>50</x:v>
      </x:c>
      <x:c r="C14" s="42">
        <x:v>5.0</x:v>
      </x:c>
      <x:c r="D14" s="42">
        <x:v>1.0</x:v>
      </x:c>
      <x:c r="E14" s="42">
        <x:f t="shared" si="2"/>
        <x:v>4</x:v>
      </x:c>
      <x:c r="F14" s="37"/>
      <x:c r="G14" s="27">
        <x:v>332171.0</x:v>
      </x:c>
      <x:c r="H14" s="14">
        <x:v>5.0</x:v>
      </x:c>
      <x:c r="I14" s="27">
        <x:v>892184.0</x:v>
      </x:c>
      <x:c r="J14" s="18">
        <x:v>46143.0</x:v>
      </x:c>
      <x:c r="K14" s="17">
        <x:v>2.0</x:v>
      </x:c>
      <x:c r="L14" s="14">
        <x:v>4.0</x:v>
      </x:c>
      <x:c r="M14" s="39"/>
      <x:c r="N14" s="44">
        <x:v>5858915.0</x:v>
      </x:c>
      <x:c r="O14" s="44">
        <x:v>1.1967984E7</x:v>
      </x:c>
      <x:c r="P14" s="40">
        <x:f t="shared" si="1"/>
        <x:v>17826899</x:v>
      </x:c>
      <x:c r="Q14" s="43">
        <x:v>0.95</x:v>
      </x:c>
      <x:c r="R14" s="30"/>
      <x:c r="S14" s="24" t="s">
        <x:v>25</x:v>
      </x:c>
      <x:c r="T14" s="24" t="s">
        <x:v>107</x:v>
      </x:c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14" t="s">
        <x:v>52</x:v>
      </x:c>
      <x:c r="B15" s="15" t="s">
        <x:v>53</x:v>
      </x:c>
      <x:c r="C15" s="14">
        <x:v>3.0</x:v>
      </x:c>
      <x:c r="D15" s="14"/>
      <x:c r="E15" s="14"/>
      <x:c r="F15" s="17"/>
      <x:c r="G15" s="14"/>
      <x:c r="H15" s="14"/>
      <x:c r="I15" s="14"/>
      <x:c r="J15" s="14">
        <x:v>3.0</x:v>
      </x:c>
      <x:c r="K15" s="17">
        <x:v>3.0</x:v>
      </x:c>
      <x:c r="L15" s="14"/>
      <x:c r="M15" s="19"/>
      <x:c r="N15" s="27"/>
      <x:c r="O15" s="28"/>
      <x:c r="P15" s="27">
        <x:f t="shared" si="1"/>
        <x:v>0</x:v>
      </x:c>
      <x:c r="Q15" s="29"/>
      <x:c r="R15" s="30"/>
      <x:c r="S15" s="24" t="s">
        <x:v>25</x:v>
      </x:c>
      <x:c r="T15" s="2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14" t="s">
        <x:v>55</x:v>
      </x:c>
      <x:c r="B16" s="15" t="s">
        <x:v>56</x:v>
      </x:c>
      <x:c r="C16" s="14">
        <x:v>9.0</x:v>
      </x:c>
      <x:c r="D16" s="14"/>
      <x:c r="E16" s="14"/>
      <x:c r="F16" s="17"/>
      <x:c r="G16" s="14"/>
      <x:c r="H16" s="14"/>
      <x:c r="I16" s="14"/>
      <x:c r="J16" s="14">
        <x:v>5.0</x:v>
      </x:c>
      <x:c r="K16" s="17">
        <x:v>3.0</x:v>
      </x:c>
      <x:c r="L16" s="14"/>
      <x:c r="M16" s="19"/>
      <x:c r="N16" s="27"/>
      <x:c r="O16" s="28"/>
      <x:c r="P16" s="27">
        <x:f t="shared" si="1"/>
        <x:v>0</x:v>
      </x:c>
      <x:c r="Q16" s="29"/>
      <x:c r="R16" s="30"/>
      <x:c r="S16" s="24" t="s">
        <x:v>57</x:v>
      </x:c>
      <x:c r="T16" s="2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14" t="s">
        <x:v>59</x:v>
      </x:c>
      <x:c r="B17" s="15" t="s">
        <x:v>60</x:v>
      </x:c>
      <x:c r="C17" s="14">
        <x:v>7.0</x:v>
      </x:c>
      <x:c r="D17" s="14"/>
      <x:c r="E17" s="14"/>
      <x:c r="F17" s="17"/>
      <x:c r="G17" s="14"/>
      <x:c r="H17" s="14"/>
      <x:c r="I17" s="14"/>
      <x:c r="J17" s="14">
        <x:v>3.0</x:v>
      </x:c>
      <x:c r="K17" s="17">
        <x:v>2.0</x:v>
      </x:c>
      <x:c r="L17" s="14"/>
      <x:c r="M17" s="19"/>
      <x:c r="N17" s="27"/>
      <x:c r="O17" s="28"/>
      <x:c r="P17" s="27">
        <x:f t="shared" si="1"/>
        <x:v>0</x:v>
      </x:c>
      <x:c r="Q17" s="29"/>
      <x:c r="R17" s="30"/>
      <x:c r="S17" s="24" t="s">
        <x:v>87</x:v>
      </x:c>
      <x:c r="T17" s="2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14" t="s">
        <x:v>62</x:v>
      </x:c>
      <x:c r="B18" s="15" t="s">
        <x:v>63</x:v>
      </x:c>
      <x:c r="C18" s="14">
        <x:v>3.0</x:v>
      </x:c>
      <x:c r="D18" s="14"/>
      <x:c r="E18" s="14"/>
      <x:c r="F18" s="17"/>
      <x:c r="G18" s="14"/>
      <x:c r="H18" s="14"/>
      <x:c r="I18" s="14"/>
      <x:c r="J18" s="14">
        <x:v>2.0</x:v>
      </x:c>
      <x:c r="K18" s="17">
        <x:v>2.0</x:v>
      </x:c>
      <x:c r="L18" s="14"/>
      <x:c r="M18" s="19"/>
      <x:c r="N18" s="27"/>
      <x:c r="O18" s="27"/>
      <x:c r="P18" s="27">
        <x:f t="shared" si="1"/>
        <x:v>0</x:v>
      </x:c>
      <x:c r="Q18" s="29"/>
      <x:c r="R18" s="30"/>
      <x:c r="S18" s="24" t="s">
        <x:v>25</x:v>
      </x:c>
      <x:c r="T18" s="2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14" t="s">
        <x:v>65</x:v>
      </x:c>
      <x:c r="B19" s="15" t="s">
        <x:v>66</x:v>
      </x:c>
      <x:c r="C19" s="14">
        <x:v>8.0</x:v>
      </x:c>
      <x:c r="D19" s="14"/>
      <x:c r="E19" s="14"/>
      <x:c r="F19" s="17"/>
      <x:c r="G19" s="14"/>
      <x:c r="H19" s="14"/>
      <x:c r="I19" s="14"/>
      <x:c r="J19" s="14">
        <x:v>4.0</x:v>
      </x:c>
      <x:c r="K19" s="17">
        <x:v>3.0</x:v>
      </x:c>
      <x:c r="L19" s="14"/>
      <x:c r="M19" s="19"/>
      <x:c r="N19" s="27"/>
      <x:c r="O19" s="27"/>
      <x:c r="P19" s="27">
        <x:f t="shared" si="1"/>
        <x:v>0</x:v>
      </x:c>
      <x:c r="Q19" s="29"/>
      <x:c r="R19" s="30"/>
      <x:c r="S19" s="24" t="s">
        <x:v>57</x:v>
      </x:c>
      <x:c r="T19" s="2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14" t="s">
        <x:v>68</x:v>
      </x:c>
      <x:c r="B20" s="15" t="s">
        <x:v>69</x:v>
      </x:c>
      <x:c r="C20" s="14">
        <x:v>5.0</x:v>
      </x:c>
      <x:c r="D20" s="14"/>
      <x:c r="E20" s="14"/>
      <x:c r="F20" s="17"/>
      <x:c r="G20" s="14"/>
      <x:c r="H20" s="14"/>
      <x:c r="I20" s="14"/>
      <x:c r="J20" s="14">
        <x:v>4.0</x:v>
      </x:c>
      <x:c r="K20" s="17">
        <x:v>3.0</x:v>
      </x:c>
      <x:c r="L20" s="14"/>
      <x:c r="M20" s="19"/>
      <x:c r="N20" s="27"/>
      <x:c r="O20" s="27"/>
      <x:c r="P20" s="27">
        <x:f t="shared" si="1"/>
        <x:v>0</x:v>
      </x:c>
      <x:c r="Q20" s="29"/>
      <x:c r="R20" s="30"/>
      <x:c r="S20" s="24" t="s">
        <x:v>25</x:v>
      </x:c>
      <x:c r="T20" s="2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31" t="s">
        <x:v>71</x:v>
      </x:c>
      <x:c r="B21" s="24" t="s">
        <x:v>72</x:v>
      </x:c>
      <x:c r="C21" s="31">
        <x:v>9.0</x:v>
      </x:c>
      <x:c r="D21" s="31"/>
      <x:c r="E21" s="31"/>
      <x:c r="F21" s="17"/>
      <x:c r="G21" s="31"/>
      <x:c r="H21" s="31"/>
      <x:c r="I21" s="31"/>
      <x:c r="J21" s="31">
        <x:v>3.0</x:v>
      </x:c>
      <x:c r="K21" s="17">
        <x:v>3.0</x:v>
      </x:c>
      <x:c r="L21" s="31"/>
      <x:c r="M21" s="19"/>
      <x:c r="N21" s="28"/>
      <x:c r="O21" s="28"/>
      <x:c r="P21" s="27">
        <x:f t="shared" si="1"/>
        <x:v>0</x:v>
      </x:c>
      <x:c r="Q21" s="30"/>
      <x:c r="R21" s="30"/>
      <x:c r="S21" s="24" t="s">
        <x:v>57</x:v>
      </x:c>
      <x:c r="T21" s="2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  <x:c r="AC466" s="4"/>
      <x:c r="AD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  <x:c r="AC508" s="4"/>
      <x:c r="AD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  <x:c r="AC509" s="4"/>
      <x:c r="AD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  <x:c r="AC510" s="4"/>
      <x:c r="AD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  <x:c r="AC511" s="4"/>
      <x:c r="AD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  <x:c r="AC512" s="4"/>
      <x:c r="AD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  <x:c r="AC513" s="4"/>
      <x:c r="AD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  <x:c r="AC514" s="4"/>
      <x:c r="AD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  <x:c r="AC515" s="4"/>
      <x:c r="AD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  <x:c r="AC516" s="4"/>
      <x:c r="AD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  <x:c r="AC517" s="4"/>
      <x:c r="AD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  <x:c r="AC518" s="4"/>
      <x:c r="AD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  <x:c r="AC519" s="4"/>
      <x:c r="AD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  <x:c r="AC520" s="4"/>
      <x:c r="AD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  <x:c r="AC521" s="4"/>
      <x:c r="AD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  <x:c r="AC522" s="4"/>
      <x:c r="AD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  <x:c r="AC523" s="4"/>
      <x:c r="AD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  <x:c r="AC524" s="4"/>
      <x:c r="AD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  <x:c r="AB525" s="4"/>
      <x:c r="AC525" s="4"/>
      <x:c r="AD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  <x:c r="AB526" s="4"/>
      <x:c r="AC526" s="4"/>
      <x:c r="AD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  <x:c r="AC527" s="4"/>
      <x:c r="AD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  <x:c r="AC528" s="4"/>
      <x:c r="AD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  <x:c r="AC529" s="4"/>
      <x:c r="AD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  <x:c r="AC530" s="4"/>
      <x:c r="AD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  <x:c r="AC531" s="4"/>
      <x:c r="AD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  <x:c r="AC532" s="4"/>
      <x:c r="AD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  <x:c r="AC533" s="4"/>
      <x:c r="AD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  <x:c r="AC534" s="4"/>
      <x:c r="AD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  <x:c r="AC535" s="4"/>
      <x:c r="AD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  <x:c r="AC536" s="4"/>
      <x:c r="AD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  <x:c r="AC537" s="4"/>
      <x:c r="AD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  <x:c r="AC538" s="4"/>
      <x:c r="AD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  <x:c r="AC539" s="4"/>
      <x:c r="AD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  <x:c r="AC540" s="4"/>
      <x:c r="AD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  <x:c r="AC541" s="4"/>
      <x:c r="AD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  <x:c r="AC542" s="4"/>
      <x:c r="AD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  <x:c r="AC543" s="4"/>
      <x:c r="AD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  <x:c r="AC597" s="4"/>
      <x:c r="AD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  <x:c r="AC598" s="4"/>
      <x:c r="AD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  <x:c r="AC599" s="4"/>
      <x:c r="AD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  <x:c r="AC600" s="4"/>
      <x:c r="AD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  <x:c r="AC601" s="4"/>
      <x:c r="AD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  <x:c r="AC602" s="4"/>
      <x:c r="AD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  <x:c r="AC603" s="4"/>
      <x:c r="AD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  <x:c r="AC604" s="4"/>
      <x:c r="AD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  <x:c r="AC605" s="4"/>
      <x:c r="AD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  <x:c r="AC606" s="4"/>
      <x:c r="AD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  <x:c r="AC607" s="4"/>
      <x:c r="AD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  <x:c r="AC608" s="4"/>
      <x:c r="AD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  <x:c r="AC609" s="4"/>
      <x:c r="AD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  <x:c r="AC610" s="4"/>
      <x:c r="AD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  <x:c r="AC611" s="4"/>
      <x:c r="AD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  <x:c r="AC612" s="4"/>
      <x:c r="AD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  <x:c r="AC613" s="4"/>
      <x:c r="AD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  <x:c r="AB614" s="4"/>
      <x:c r="AC614" s="4"/>
      <x:c r="AD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  <x:c r="AB615" s="4"/>
      <x:c r="AC615" s="4"/>
      <x:c r="AD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  <x:c r="AC616" s="4"/>
      <x:c r="AD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  <x:c r="AC617" s="4"/>
      <x:c r="AD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  <x:c r="AC618" s="4"/>
      <x:c r="AD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  <x:c r="AC619" s="4"/>
      <x:c r="AD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  <x:c r="AC620" s="4"/>
      <x:c r="AD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  <x:c r="AC621" s="4"/>
      <x:c r="AD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  <x:c r="AC622" s="4"/>
      <x:c r="AD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  <x:c r="AC623" s="4"/>
      <x:c r="AD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  <x:c r="AC624" s="4"/>
      <x:c r="AD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  <x:c r="AC625" s="4"/>
      <x:c r="AD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  <x:c r="AC626" s="4"/>
      <x:c r="AD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  <x:c r="AC627" s="4"/>
      <x:c r="AD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  <x:c r="AC628" s="4"/>
      <x:c r="AD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  <x:c r="AC629" s="4"/>
      <x:c r="AD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  <x:c r="AC630" s="4"/>
      <x:c r="AD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  <x:c r="AC631" s="4"/>
      <x:c r="AD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  <x:c r="AC632" s="4"/>
      <x:c r="AD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  <x:c r="AC720" s="4"/>
      <x:c r="AD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  <x:c r="AC721" s="4"/>
      <x:c r="AD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  <x:c r="AC722" s="4"/>
      <x:c r="AD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  <x:c r="AC723" s="4"/>
      <x:c r="AD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  <x:c r="AC724" s="4"/>
      <x:c r="AD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  <x:c r="AC725" s="4"/>
      <x:c r="AD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  <x:c r="AC726" s="4"/>
      <x:c r="AD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  <x:c r="AC727" s="4"/>
      <x:c r="AD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  <x:c r="AC728" s="4"/>
      <x:c r="AD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  <x:c r="AC729" s="4"/>
      <x:c r="AD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  <x:c r="AC730" s="4"/>
      <x:c r="AD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  <x:c r="AC731" s="4"/>
      <x:c r="AD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  <x:c r="AC732" s="4"/>
      <x:c r="AD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  <x:c r="AC733" s="4"/>
      <x:c r="AD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  <x:c r="AC734" s="4"/>
      <x:c r="AD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  <x:c r="AC735" s="4"/>
      <x:c r="AD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  <x:c r="AC736" s="4"/>
      <x:c r="AD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  <x:c r="AB737" s="4"/>
      <x:c r="AC737" s="4"/>
      <x:c r="AD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  <x:c r="AB738" s="4"/>
      <x:c r="AC738" s="4"/>
      <x:c r="AD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  <x:c r="AB739" s="4"/>
      <x:c r="AC739" s="4"/>
      <x:c r="AD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  <x:c r="AB740" s="4"/>
      <x:c r="AC740" s="4"/>
      <x:c r="AD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  <x:c r="AB741" s="4"/>
      <x:c r="AC741" s="4"/>
      <x:c r="AD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  <x:c r="AB742" s="4"/>
      <x:c r="AC742" s="4"/>
      <x:c r="AD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  <x:c r="AB743" s="4"/>
      <x:c r="AC743" s="4"/>
      <x:c r="AD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  <x:c r="AB744" s="4"/>
      <x:c r="AC744" s="4"/>
      <x:c r="AD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  <x:c r="AC745" s="4"/>
      <x:c r="AD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  <x:c r="AC746" s="4"/>
      <x:c r="AD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  <x:c r="AC747" s="4"/>
      <x:c r="AD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  <x:c r="AC748" s="4"/>
      <x:c r="AD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  <x:c r="AC749" s="4"/>
      <x:c r="AD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  <x:c r="AC750" s="4"/>
      <x:c r="AD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  <x:c r="AC751" s="4"/>
      <x:c r="AD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  <x:c r="AC752" s="4"/>
      <x:c r="AD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  <x:c r="AC753" s="4"/>
      <x:c r="AD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  <x:c r="AC754" s="4"/>
      <x:c r="AD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  <x:c r="AC755" s="4"/>
      <x:c r="AD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  <x:c r="AC756" s="4"/>
      <x:c r="AD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  <x:c r="AC757" s="4"/>
      <x:c r="AD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  <x:c r="AC758" s="4"/>
      <x:c r="AD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  <x:c r="AC759" s="4"/>
      <x:c r="AD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  <x:c r="AC760" s="4"/>
      <x:c r="AD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  <x:c r="AC761" s="4"/>
      <x:c r="AD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  <x:c r="AC838" s="4"/>
      <x:c r="AD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  <x:c r="AC839" s="4"/>
      <x:c r="AD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  <x:c r="AC840" s="4"/>
      <x:c r="AD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  <x:c r="AC852" s="4"/>
      <x:c r="AD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  <x:c r="AC853" s="4"/>
      <x:c r="AD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  <x:c r="AC854" s="4"/>
      <x:c r="AD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  <x:c r="AC855" s="4"/>
      <x:c r="AD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  <x:c r="AC856" s="4"/>
      <x:c r="AD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  <x:c r="AC857" s="4"/>
      <x:c r="AD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  <x:c r="AC858" s="4"/>
      <x:c r="AD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  <x:c r="AC859" s="4"/>
      <x:c r="AD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  <x:c r="AC860" s="4"/>
      <x:c r="AD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  <x:c r="AC861" s="4"/>
      <x:c r="AD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  <x:c r="AC862" s="4"/>
      <x:c r="AD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  <x:c r="AC864" s="4"/>
      <x:c r="AD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  <x:c r="AC865" s="4"/>
      <x:c r="AD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  <x:c r="AC866" s="4"/>
      <x:c r="AD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  <x:c r="AC867" s="4"/>
      <x:c r="AD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  <x:c r="AC868" s="4"/>
      <x:c r="AD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  <x:c r="AC869" s="4"/>
      <x:c r="AD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  <x:c r="AC870" s="4"/>
      <x:c r="AD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  <x:c r="AC871" s="4"/>
      <x:c r="AD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  <x:c r="AC872" s="4"/>
      <x:c r="AD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  <x:c r="AC873" s="4"/>
      <x:c r="AD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  <x:c r="AC874" s="4"/>
      <x:c r="AD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  <x:c r="AC875" s="4"/>
      <x:c r="AD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  <x:c r="AC876" s="4"/>
      <x:c r="AD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  <x:c r="AC877" s="4"/>
      <x:c r="AD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  <x:c r="AC878" s="4"/>
      <x:c r="AD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  <x:c r="AC879" s="4"/>
      <x:c r="AD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  <x:c r="AC880" s="4"/>
      <x:c r="AD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  <x:c r="AC881" s="4"/>
      <x:c r="AD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  <x:c r="AC916" s="4"/>
      <x:c r="AD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  <x:c r="AC917" s="4"/>
      <x:c r="AD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  <x:c r="AC918" s="4"/>
      <x:c r="AD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  <x:c r="AC930" s="4"/>
      <x:c r="AD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  <x:c r="AC931" s="4"/>
      <x:c r="AD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  <x:c r="AC932" s="4"/>
      <x:c r="AD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  <x:c r="AC933" s="4"/>
      <x:c r="AD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  <x:c r="AC934" s="4"/>
      <x:c r="AD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  <x:c r="AC935" s="4"/>
      <x:c r="AD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  <x:c r="AC936" s="4"/>
      <x:c r="AD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  <x:c r="AC937" s="4"/>
      <x:c r="AD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  <x:c r="AC938" s="4"/>
      <x:c r="AD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  <x:c r="AC939" s="4"/>
      <x:c r="AD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  <x:c r="AC940" s="4"/>
      <x:c r="AD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  <x:c r="AC942" s="4"/>
      <x:c r="AD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  <x:c r="AC943" s="4"/>
      <x:c r="AD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  <x:c r="AC944" s="4"/>
      <x:c r="AD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  <x:c r="AC945" s="4"/>
      <x:c r="AD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  <x:c r="AC946" s="4"/>
      <x:c r="AD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  <x:c r="AC947" s="4"/>
      <x:c r="AD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  <x:c r="AC948" s="4"/>
      <x:c r="AD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  <x:c r="AC949" s="4"/>
      <x:c r="AD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  <x:c r="AC950" s="4"/>
      <x:c r="AD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  <x:c r="AC951" s="4"/>
      <x:c r="AD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  <x:c r="AC952" s="4"/>
      <x:c r="AD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  <x:c r="AC953" s="4"/>
      <x:c r="AD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  <x:c r="AC954" s="4"/>
      <x:c r="AD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  <x:c r="AC955" s="4"/>
      <x:c r="AD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  <x:c r="AC956" s="4"/>
      <x:c r="AD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  <x:c r="AC957" s="4"/>
      <x:c r="AD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  <x:c r="AB958" s="4"/>
      <x:c r="AC958" s="4"/>
      <x:c r="AD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  <x:c r="AB959" s="4"/>
      <x:c r="AC959" s="4"/>
      <x:c r="AD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  <x:c r="AC960" s="4"/>
      <x:c r="AD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  <x:c r="AC961" s="4"/>
      <x:c r="AD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  <x:c r="AC962" s="4"/>
      <x:c r="AD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  <x:c r="AC963" s="4"/>
      <x:c r="AD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  <x:c r="AC964" s="4"/>
      <x:c r="AD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  <x:c r="AC965" s="4"/>
      <x:c r="AD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  <x:c r="AC966" s="4"/>
      <x:c r="AD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  <x:c r="AC967" s="4"/>
      <x:c r="AD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  <x:c r="AC968" s="4"/>
      <x:c r="AD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  <x:c r="AC969" s="4"/>
      <x:c r="AD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  <x:c r="AC970" s="4"/>
      <x:c r="AD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  <x:c r="AC971" s="4"/>
      <x:c r="AD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  <x:c r="AC972" s="4"/>
      <x:c r="AD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  <x:c r="AC973" s="4"/>
      <x:c r="AD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  <x:c r="AC974" s="4"/>
      <x:c r="AD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  <x:c r="AC975" s="4"/>
      <x:c r="AD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  <x:c r="AC976" s="4"/>
      <x:c r="AD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  <x:c r="AC977" s="4"/>
      <x:c r="AD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  <x:c r="AC978" s="4"/>
      <x:c r="AD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  <x:c r="AC979" s="4"/>
      <x:c r="AD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  <x:c r="AC980" s="4"/>
      <x:c r="AD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  <x:c r="AC981" s="4"/>
      <x:c r="AD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  <x:c r="AC982" s="4"/>
      <x:c r="AD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  <x:c r="AC983" s="4"/>
      <x:c r="AD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  <x:c r="AC984" s="4"/>
      <x:c r="AD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  <x:c r="AC985" s="4"/>
      <x:c r="AD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  <x:c r="AC986" s="4"/>
      <x:c r="AD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  <x:c r="AC987" s="4"/>
      <x:c r="AD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  <x:c r="AC988" s="4"/>
      <x:c r="AD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  <x:c r="AC989" s="4"/>
      <x:c r="AD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  <x:c r="AC990" s="4"/>
      <x:c r="AD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  <x:c r="AC991" s="4"/>
      <x:c r="AD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  <x:c r="AC992" s="4"/>
      <x:c r="AD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  <x:c r="AC993" s="4"/>
      <x:c r="AD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  <x:c r="AC994" s="4"/>
      <x:c r="AD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  <x:c r="AC995" s="4"/>
      <x:c r="AD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  <x:c r="AC996" s="4"/>
      <x:c r="AD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  <x:c r="AC997" s="4"/>
      <x:c r="AD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  <x:c r="AC998" s="4"/>
      <x:c r="AD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  <x:c r="AB999" s="4"/>
      <x:c r="AC999" s="4"/>
      <x:c r="AD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  <x:c r="AB1000" s="4"/>
      <x:c r="AC1000" s="4"/>
      <x:c r="AD1000" s="4"/>
    </x:row>
    <x:row r="1001">
      <x:c r="A1001" s="4"/>
      <x:c r="B1001" s="4"/>
      <x:c r="C1001" s="4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  <x:c r="Z1001" s="4"/>
      <x:c r="AA1001" s="4"/>
      <x:c r="AB1001" s="4"/>
      <x:c r="AC1001" s="4"/>
      <x:c r="AD1001" s="4"/>
    </x:row>
    <x:row r="1002">
      <x:c r="A1002" s="4"/>
      <x:c r="B1002" s="4"/>
      <x:c r="C1002" s="4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  <x:c r="Z1002" s="4"/>
      <x:c r="AA1002" s="4"/>
      <x:c r="AB1002" s="4"/>
      <x:c r="AC1002" s="4"/>
      <x:c r="AD1002" s="4"/>
    </x:row>
    <x:row r="1003">
      <x:c r="A1003" s="4"/>
      <x:c r="B1003" s="4"/>
      <x:c r="C1003" s="4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  <x:c r="Z1003" s="4"/>
      <x:c r="AA1003" s="4"/>
      <x:c r="AB1003" s="4"/>
      <x:c r="AC1003" s="4"/>
      <x:c r="AD1003" s="4"/>
    </x:row>
    <x:row r="1004">
      <x:c r="A1004" s="4"/>
      <x:c r="B1004" s="4"/>
      <x:c r="C1004" s="4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  <x:c r="Z1004" s="4"/>
      <x:c r="AA1004" s="4"/>
      <x:c r="AB1004" s="4"/>
      <x:c r="AC1004" s="4"/>
      <x:c r="AD1004" s="4"/>
    </x:row>
    <x:row r="1005">
      <x:c r="A1005" s="4"/>
      <x:c r="B1005" s="4"/>
      <x:c r="C1005" s="4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  <x:c r="Z1005" s="4"/>
      <x:c r="AA1005" s="4"/>
      <x:c r="AB1005" s="4"/>
      <x:c r="AC1005" s="4"/>
      <x:c r="AD1005" s="4"/>
    </x:row>
    <x:row r="1006">
      <x:c r="A1006" s="4"/>
      <x:c r="B1006" s="4"/>
      <x:c r="C1006" s="4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  <x:c r="Z1006" s="4"/>
      <x:c r="AA1006" s="4"/>
      <x:c r="AB1006" s="4"/>
      <x:c r="AC1006" s="4"/>
      <x:c r="AD1006" s="4"/>
    </x:row>
    <x:row r="1007">
      <x:c r="A1007" s="4"/>
      <x:c r="B1007" s="4"/>
      <x:c r="C1007" s="4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  <x:c r="Z1007" s="4"/>
      <x:c r="AA1007" s="4"/>
      <x:c r="AB1007" s="4"/>
      <x:c r="AC1007" s="4"/>
      <x:c r="AD1007" s="4"/>
    </x:row>
    <x:row r="1008">
      <x:c r="A1008" s="4"/>
      <x:c r="B1008" s="4"/>
      <x:c r="C1008" s="4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  <x:c r="Z1008" s="4"/>
      <x:c r="AA1008" s="4"/>
      <x:c r="AB1008" s="4"/>
      <x:c r="AC1008" s="4"/>
      <x:c r="AD1008" s="4"/>
    </x:row>
    <x:row r="1009">
      <x:c r="A1009" s="4"/>
      <x:c r="B1009" s="4"/>
      <x:c r="C1009" s="4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  <x:c r="Z1009" s="4"/>
      <x:c r="AA1009" s="4"/>
      <x:c r="AB1009" s="4"/>
      <x:c r="AC1009" s="4"/>
      <x:c r="AD1009" s="4"/>
    </x:row>
    <x:row r="1010">
      <x:c r="A1010" s="4"/>
      <x:c r="B1010" s="4"/>
      <x:c r="C1010" s="4"/>
      <x:c r="D1010" s="4"/>
      <x:c r="E1010" s="4"/>
      <x:c r="F1010" s="4"/>
      <x:c r="G1010" s="4"/>
      <x:c r="H1010" s="4"/>
      <x:c r="I1010" s="4"/>
      <x:c r="J1010" s="4"/>
      <x:c r="K1010" s="4"/>
      <x:c r="L1010" s="4"/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4"/>
      <x:c r="W1010" s="4"/>
      <x:c r="X1010" s="4"/>
      <x:c r="Y1010" s="4"/>
      <x:c r="Z1010" s="4"/>
      <x:c r="AA1010" s="4"/>
      <x:c r="AB1010" s="4"/>
      <x:c r="AC1010" s="4"/>
      <x:c r="AD1010" s="4"/>
    </x:row>
    <x:row r="1011">
      <x:c r="A1011" s="4"/>
      <x:c r="B1011" s="4"/>
      <x:c r="C1011" s="4"/>
      <x:c r="D1011" s="4"/>
      <x:c r="E1011" s="4"/>
      <x:c r="F1011" s="4"/>
      <x:c r="G1011" s="4"/>
      <x:c r="H1011" s="4"/>
      <x:c r="I1011" s="4"/>
      <x:c r="J1011" s="4"/>
      <x:c r="K1011" s="4"/>
      <x:c r="L1011" s="4"/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4"/>
      <x:c r="W1011" s="4"/>
      <x:c r="X1011" s="4"/>
      <x:c r="Y1011" s="4"/>
      <x:c r="Z1011" s="4"/>
      <x:c r="AA1011" s="4"/>
      <x:c r="AB1011" s="4"/>
      <x:c r="AC1011" s="4"/>
      <x:c r="AD1011" s="4"/>
    </x:row>
  </x:sheetData>
  <x:mergeCells>
    <x:mergeCell ref="F3:F4"/>
    <x:mergeCell ref="G3:G4"/>
    <x:mergeCell ref="H3:H4"/>
    <x:mergeCell ref="I3:I4"/>
    <x:mergeCell ref="J3:L3"/>
    <x:mergeCell ref="M3:M4"/>
    <x:mergeCell ref="N3:N4"/>
    <x:mergeCell ref="O3:O4"/>
    <x:mergeCell ref="P3:P4"/>
    <x:mergeCell ref="Q3:Q4"/>
    <x:mergeCell ref="R3:R4"/>
    <x:mergeCell ref="S3:S4"/>
    <x:mergeCell ref="A1:T1"/>
    <x:mergeCell ref="A2:T2"/>
    <x:mergeCell ref="A3:A4"/>
    <x:mergeCell ref="B3:B4"/>
    <x:mergeCell ref="C3:C4"/>
    <x:mergeCell ref="D3:D4"/>
    <x:mergeCell ref="E3:E4"/>
  </x:mergeCells>
  <x:hyperlinks>
    <x:hyperlink xmlns:r="http://schemas.openxmlformats.org/officeDocument/2006/relationships" ref="A2" r:id="R91637f1aabe54c94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1" max="1" width="8.25" customWidth="1"/>
    <x:col min="2" max="2" width="26.6299991607666" customWidth="1"/>
    <x:col min="6" max="6" width="12.630000114440918" customWidth="1"/>
    <x:col min="13" max="13" width="12.630000114440918" customWidth="1"/>
    <x:col min="20" max="20" width="30.75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3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5" t="s">
        <x:v>89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3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7" t="s">
        <x:v>7</x:v>
      </x:c>
      <x:c r="G3" s="8" t="s">
        <x:v>8</x:v>
      </x:c>
      <x:c r="H3" s="6" t="s">
        <x:v>9</x:v>
      </x:c>
      <x:c r="I3" s="8" t="s">
        <x:v>10</x:v>
      </x:c>
      <x:c r="J3" s="9" t="s">
        <x:v>11</x:v>
      </x:c>
      <x:c r="K3" s="2"/>
      <x:c r="L3" s="3"/>
      <x:c r="M3" s="7" t="s">
        <x:v>12</x:v>
      </x:c>
      <x:c r="N3" s="6" t="s">
        <x:v>13</x:v>
      </x:c>
      <x:c r="O3" s="6" t="s">
        <x:v>14</x:v>
      </x:c>
      <x:c r="P3" s="6" t="s">
        <x:v>15</x:v>
      </x:c>
      <x:c r="Q3" s="6" t="s">
        <x:v>16</x:v>
      </x:c>
      <x:c r="R3" s="10" t="s">
        <x:v>17</x:v>
      </x:c>
      <x:c r="S3" s="10" t="s">
        <x:v>18</x:v>
      </x:c>
      <x:c r="T3" s="11" t="s">
        <x:v>19</x:v>
      </x:c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2.5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3" t="s">
        <x:v>20</x:v>
      </x:c>
      <x:c r="K4" s="13" t="s">
        <x:v>21</x:v>
      </x:c>
      <x:c r="L4" s="13" t="s">
        <x:v>22</x:v>
      </x:c>
      <x:c r="M4" s="12"/>
      <x:c r="N4" s="12"/>
      <x:c r="O4" s="12"/>
      <x:c r="P4" s="12"/>
      <x:c r="Q4" s="12"/>
      <x:c r="R4" s="12"/>
      <x:c r="S4" s="12"/>
      <x:c r="T4" s="11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14" t="s">
        <x:v>23</x:v>
      </x:c>
      <x:c r="B5" s="15" t="s">
        <x:v>24</x:v>
      </x:c>
      <x:c r="C5" s="14">
        <x:v>11.0</x:v>
      </x:c>
      <x:c r="D5" s="14"/>
      <x:c r="E5" s="14"/>
      <x:c r="F5" s="17"/>
      <x:c r="G5" s="14"/>
      <x:c r="H5" s="14"/>
      <x:c r="I5" s="14"/>
      <x:c r="J5" s="18">
        <x:v>46145.0</x:v>
      </x:c>
      <x:c r="K5" s="17">
        <x:v>4.0</x:v>
      </x:c>
      <x:c r="L5" s="14"/>
      <x:c r="M5" s="19"/>
      <x:c r="N5" s="45"/>
      <x:c r="O5" s="46"/>
      <x:c r="P5" s="45" t="n">
        <x:f t="shared" ref="P5:P21" si="1">SUM(M5:O5)</x:f>
        <x:v>0</x:v>
      </x:c>
      <x:c r="Q5" s="29"/>
      <x:c r="R5" s="30"/>
      <x:c r="S5" s="24"/>
      <x:c r="T5" s="2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14" t="s">
        <x:v>26</x:v>
      </x:c>
      <x:c r="B6" s="15" t="s">
        <x:v>27</x:v>
      </x:c>
      <x:c r="C6" s="14">
        <x:v>6.0</x:v>
      </x:c>
      <x:c r="D6" s="14">
        <x:v>0.0</x:v>
      </x:c>
      <x:c r="E6" s="14">
        <x:v>6.0</x:v>
      </x:c>
      <x:c r="F6" s="17"/>
      <x:c r="G6" s="14">
        <x:v>142.035</x:v>
      </x:c>
      <x:c r="H6" s="14">
        <x:v>0.0</x:v>
      </x:c>
      <x:c r="I6" s="14">
        <x:v>0.0</x:v>
      </x:c>
      <x:c r="J6" s="14">
        <x:v>3.0</x:v>
      </x:c>
      <x:c r="K6" s="17">
        <x:v>4.0</x:v>
      </x:c>
      <x:c r="L6" s="14"/>
      <x:c r="M6" s="19"/>
      <x:c r="N6" s="45">
        <x:v>8454806.0</x:v>
      </x:c>
      <x:c r="O6" s="46">
        <x:v>0.0</x:v>
      </x:c>
      <x:c r="P6" s="45">
        <x:f t="shared" si="1"/>
        <x:v>8454806</x:v>
      </x:c>
      <x:c r="Q6" s="29">
        <x:v>1.0</x:v>
      </x:c>
      <x:c r="R6" s="30">
        <x:v>1.0</x:v>
      </x:c>
      <x:c r="S6" s="24" t="s">
        <x:v>25</x:v>
      </x:c>
      <x:c r="T6" s="24" t="s">
        <x:v>108</x:v>
      </x:c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14" t="s">
        <x:v>30</x:v>
      </x:c>
      <x:c r="B7" s="15" t="s">
        <x:v>31</x:v>
      </x:c>
      <x:c r="C7" s="14">
        <x:v>6.0</x:v>
      </x:c>
      <x:c r="D7" s="14"/>
      <x:c r="E7" s="14"/>
      <x:c r="F7" s="17"/>
      <x:c r="G7" s="14"/>
      <x:c r="H7" s="14"/>
      <x:c r="I7" s="14"/>
      <x:c r="J7" s="14">
        <x:v>3.0</x:v>
      </x:c>
      <x:c r="K7" s="17">
        <x:v>4.0</x:v>
      </x:c>
      <x:c r="L7" s="14"/>
      <x:c r="M7" s="19"/>
      <x:c r="N7" s="45"/>
      <x:c r="O7" s="46"/>
      <x:c r="P7" s="45">
        <x:f t="shared" si="1"/>
        <x:v>0</x:v>
      </x:c>
      <x:c r="Q7" s="29"/>
      <x:c r="R7" s="30"/>
      <x:c r="S7" s="24"/>
      <x:c r="T7" s="2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14" t="s">
        <x:v>32</x:v>
      </x:c>
      <x:c r="B8" s="15" t="s">
        <x:v>33</x:v>
      </x:c>
      <x:c r="C8" s="14">
        <x:v>6.0</x:v>
      </x:c>
      <x:c r="D8" s="14"/>
      <x:c r="E8" s="14"/>
      <x:c r="F8" s="17"/>
      <x:c r="G8" s="14"/>
      <x:c r="H8" s="14"/>
      <x:c r="I8" s="14"/>
      <x:c r="J8" s="14">
        <x:v>3.0</x:v>
      </x:c>
      <x:c r="K8" s="17">
        <x:v>6.0</x:v>
      </x:c>
      <x:c r="L8" s="14"/>
      <x:c r="M8" s="19"/>
      <x:c r="N8" s="45"/>
      <x:c r="O8" s="46"/>
      <x:c r="P8" s="45">
        <x:f t="shared" si="1"/>
        <x:v>0</x:v>
      </x:c>
      <x:c r="Q8" s="29"/>
      <x:c r="R8" s="30"/>
      <x:c r="S8" s="24"/>
      <x:c r="T8" s="2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14" t="s">
        <x:v>34</x:v>
      </x:c>
      <x:c r="B9" s="15" t="s">
        <x:v>35</x:v>
      </x:c>
      <x:c r="C9" s="14">
        <x:v>7.0</x:v>
      </x:c>
      <x:c r="D9" s="14"/>
      <x:c r="E9" s="14"/>
      <x:c r="F9" s="17"/>
      <x:c r="G9" s="47"/>
      <x:c r="H9" s="14"/>
      <x:c r="I9" s="14"/>
      <x:c r="J9" s="18">
        <x:v>46144.0</x:v>
      </x:c>
      <x:c r="K9" s="17">
        <x:v>3.0</x:v>
      </x:c>
      <x:c r="L9" s="14">
        <x:v>3.0</x:v>
      </x:c>
      <x:c r="M9" s="19"/>
      <x:c r="N9" s="45"/>
      <x:c r="O9" s="46"/>
      <x:c r="P9" s="45">
        <x:f t="shared" si="1"/>
        <x:v>0</x:v>
      </x:c>
      <x:c r="Q9" s="29"/>
      <x:c r="R9" s="30"/>
      <x:c r="S9" s="24" t="s">
        <x:v>25</x:v>
      </x:c>
      <x:c r="T9" s="2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14" t="s">
        <x:v>37</x:v>
      </x:c>
      <x:c r="B10" s="15" t="s">
        <x:v>38</x:v>
      </x:c>
      <x:c r="C10" s="14">
        <x:v>9.0</x:v>
      </x:c>
      <x:c r="D10" s="14"/>
      <x:c r="E10" s="14"/>
      <x:c r="F10" s="17"/>
      <x:c r="G10" s="14"/>
      <x:c r="H10" s="14"/>
      <x:c r="I10" s="14"/>
      <x:c r="J10" s="14">
        <x:v>3.0</x:v>
      </x:c>
      <x:c r="K10" s="17">
        <x:v>3.0</x:v>
      </x:c>
      <x:c r="L10" s="14">
        <x:v>3.0</x:v>
      </x:c>
      <x:c r="M10" s="19"/>
      <x:c r="N10" s="45"/>
      <x:c r="O10" s="46"/>
      <x:c r="P10" s="45">
        <x:f t="shared" si="1"/>
        <x:v>0</x:v>
      </x:c>
      <x:c r="Q10" s="29"/>
      <x:c r="R10" s="30"/>
      <x:c r="S10" s="24" t="s">
        <x:v>25</x:v>
      </x:c>
      <x:c r="T10" s="2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14" t="s">
        <x:v>40</x:v>
      </x:c>
      <x:c r="B11" s="15" t="s">
        <x:v>41</x:v>
      </x:c>
      <x:c r="C11" s="14">
        <x:v>5.0</x:v>
      </x:c>
      <x:c r="D11" s="14"/>
      <x:c r="E11" s="14"/>
      <x:c r="F11" s="17"/>
      <x:c r="G11" s="14"/>
      <x:c r="H11" s="14"/>
      <x:c r="I11" s="14"/>
      <x:c r="J11" s="18">
        <x:v>46144.0</x:v>
      </x:c>
      <x:c r="K11" s="17">
        <x:v>3.0</x:v>
      </x:c>
      <x:c r="L11" s="14">
        <x:v>3.0</x:v>
      </x:c>
      <x:c r="M11" s="19"/>
      <x:c r="N11" s="45"/>
      <x:c r="O11" s="46"/>
      <x:c r="P11" s="45">
        <x:f t="shared" si="1"/>
        <x:v>0</x:v>
      </x:c>
      <x:c r="Q11" s="29"/>
      <x:c r="R11" s="30"/>
      <x:c r="S11" s="24" t="s">
        <x:v>25</x:v>
      </x:c>
      <x:c r="T11" s="2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14" t="s">
        <x:v>43</x:v>
      </x:c>
      <x:c r="B12" s="15" t="s">
        <x:v>44</x:v>
      </x:c>
      <x:c r="C12" s="14">
        <x:v>9.0</x:v>
      </x:c>
      <x:c r="D12" s="14"/>
      <x:c r="E12" s="14"/>
      <x:c r="F12" s="17"/>
      <x:c r="G12" s="14"/>
      <x:c r="H12" s="14"/>
      <x:c r="I12" s="14"/>
      <x:c r="J12" s="14">
        <x:v>2.0</x:v>
      </x:c>
      <x:c r="K12" s="17">
        <x:v>2.0</x:v>
      </x:c>
      <x:c r="L12" s="18">
        <x:v>46144.0</x:v>
      </x:c>
      <x:c r="M12" s="19"/>
      <x:c r="N12" s="45"/>
      <x:c r="O12" s="46"/>
      <x:c r="P12" s="45">
        <x:f t="shared" si="1"/>
        <x:v>0</x:v>
      </x:c>
      <x:c r="Q12" s="29"/>
      <x:c r="R12" s="30"/>
      <x:c r="S12" s="24" t="s">
        <x:v>25</x:v>
      </x:c>
      <x:c r="T12" s="2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14" t="s">
        <x:v>46</x:v>
      </x:c>
      <x:c r="B13" s="15" t="s">
        <x:v>47</x:v>
      </x:c>
      <x:c r="C13" s="14">
        <x:v>9.0</x:v>
      </x:c>
      <x:c r="D13" s="14"/>
      <x:c r="E13" s="14"/>
      <x:c r="F13" s="17"/>
      <x:c r="G13" s="14"/>
      <x:c r="H13" s="14"/>
      <x:c r="I13" s="14"/>
      <x:c r="J13" s="14">
        <x:v>2.0</x:v>
      </x:c>
      <x:c r="K13" s="17">
        <x:v>2.0</x:v>
      </x:c>
      <x:c r="L13" s="18">
        <x:v>46144.0</x:v>
      </x:c>
      <x:c r="M13" s="19"/>
      <x:c r="N13" s="45"/>
      <x:c r="O13" s="46"/>
      <x:c r="P13" s="45">
        <x:f t="shared" si="1"/>
        <x:v>0</x:v>
      </x:c>
      <x:c r="Q13" s="29"/>
      <x:c r="R13" s="30"/>
      <x:c r="S13" s="24" t="s">
        <x:v>25</x:v>
      </x:c>
      <x:c r="T13" s="2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14" t="s">
        <x:v>49</x:v>
      </x:c>
      <x:c r="B14" s="15" t="s">
        <x:v>50</x:v>
      </x:c>
      <x:c r="C14" s="14">
        <x:v>9.0</x:v>
      </x:c>
      <x:c r="D14" s="14"/>
      <x:c r="E14" s="14"/>
      <x:c r="F14" s="17"/>
      <x:c r="G14" s="14"/>
      <x:c r="H14" s="14"/>
      <x:c r="I14" s="14"/>
      <x:c r="J14" s="18">
        <x:v>46143.0</x:v>
      </x:c>
      <x:c r="K14" s="17">
        <x:v>2.0</x:v>
      </x:c>
      <x:c r="L14" s="14">
        <x:v>2.0</x:v>
      </x:c>
      <x:c r="M14" s="19"/>
      <x:c r="N14" s="45"/>
      <x:c r="O14" s="46"/>
      <x:c r="P14" s="45">
        <x:f t="shared" si="1"/>
        <x:v>0</x:v>
      </x:c>
      <x:c r="Q14" s="29"/>
      <x:c r="R14" s="30"/>
      <x:c r="S14" s="24" t="s">
        <x:v>25</x:v>
      </x:c>
      <x:c r="T14" s="2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14" t="s">
        <x:v>52</x:v>
      </x:c>
      <x:c r="B15" s="15" t="s">
        <x:v>53</x:v>
      </x:c>
      <x:c r="C15" s="14">
        <x:v>3.0</x:v>
      </x:c>
      <x:c r="D15" s="14"/>
      <x:c r="E15" s="14"/>
      <x:c r="F15" s="17"/>
      <x:c r="G15" s="14"/>
      <x:c r="H15" s="14"/>
      <x:c r="I15" s="14"/>
      <x:c r="J15" s="14">
        <x:v>3.0</x:v>
      </x:c>
      <x:c r="K15" s="17">
        <x:v>3.0</x:v>
      </x:c>
      <x:c r="L15" s="14"/>
      <x:c r="M15" s="19"/>
      <x:c r="N15" s="45"/>
      <x:c r="O15" s="46"/>
      <x:c r="P15" s="45">
        <x:f t="shared" si="1"/>
        <x:v>0</x:v>
      </x:c>
      <x:c r="Q15" s="29"/>
      <x:c r="R15" s="30"/>
      <x:c r="S15" s="24" t="s">
        <x:v>25</x:v>
      </x:c>
      <x:c r="T15" s="24" t="s">
        <x:v>54</x:v>
      </x:c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14" t="s">
        <x:v>55</x:v>
      </x:c>
      <x:c r="B16" s="15" t="s">
        <x:v>56</x:v>
      </x:c>
      <x:c r="C16" s="14">
        <x:v>9.0</x:v>
      </x:c>
      <x:c r="D16" s="14"/>
      <x:c r="E16" s="14"/>
      <x:c r="F16" s="17"/>
      <x:c r="G16" s="14"/>
      <x:c r="H16" s="14"/>
      <x:c r="I16" s="14"/>
      <x:c r="J16" s="18">
        <x:v>46146.0</x:v>
      </x:c>
      <x:c r="K16" s="17">
        <x:v>3.0</x:v>
      </x:c>
      <x:c r="L16" s="14"/>
      <x:c r="M16" s="19"/>
      <x:c r="N16" s="45"/>
      <x:c r="O16" s="46"/>
      <x:c r="P16" s="45">
        <x:f t="shared" si="1"/>
        <x:v>0</x:v>
      </x:c>
      <x:c r="Q16" s="29"/>
      <x:c r="R16" s="30"/>
      <x:c r="S16" s="24" t="s">
        <x:v>57</x:v>
      </x:c>
      <x:c r="T16" s="24" t="s">
        <x:v>58</x:v>
      </x:c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14" t="s">
        <x:v>59</x:v>
      </x:c>
      <x:c r="B17" s="15" t="s">
        <x:v>60</x:v>
      </x:c>
      <x:c r="C17" s="14">
        <x:v>7.0</x:v>
      </x:c>
      <x:c r="D17" s="14"/>
      <x:c r="E17" s="14"/>
      <x:c r="F17" s="17"/>
      <x:c r="G17" s="14"/>
      <x:c r="H17" s="14"/>
      <x:c r="I17" s="14"/>
      <x:c r="J17" s="14">
        <x:v>3.0</x:v>
      </x:c>
      <x:c r="K17" s="17">
        <x:v>2.0</x:v>
      </x:c>
      <x:c r="L17" s="14"/>
      <x:c r="M17" s="19"/>
      <x:c r="N17" s="45"/>
      <x:c r="O17" s="46"/>
      <x:c r="P17" s="45">
        <x:f t="shared" si="1"/>
        <x:v>0</x:v>
      </x:c>
      <x:c r="Q17" s="29"/>
      <x:c r="R17" s="30"/>
      <x:c r="S17" s="24" t="s">
        <x:v>87</x:v>
      </x:c>
      <x:c r="T17" s="24" t="s">
        <x:v>61</x:v>
      </x:c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14" t="s">
        <x:v>62</x:v>
      </x:c>
      <x:c r="B18" s="15" t="s">
        <x:v>63</x:v>
      </x:c>
      <x:c r="C18" s="14">
        <x:v>3.0</x:v>
      </x:c>
      <x:c r="D18" s="14"/>
      <x:c r="E18" s="14"/>
      <x:c r="F18" s="17"/>
      <x:c r="G18" s="14"/>
      <x:c r="H18" s="14"/>
      <x:c r="I18" s="14"/>
      <x:c r="J18" s="14">
        <x:v>2.0</x:v>
      </x:c>
      <x:c r="K18" s="17">
        <x:v>2.0</x:v>
      </x:c>
      <x:c r="L18" s="14"/>
      <x:c r="M18" s="19"/>
      <x:c r="N18" s="45"/>
      <x:c r="O18" s="45"/>
      <x:c r="P18" s="45">
        <x:f t="shared" si="1"/>
        <x:v>0</x:v>
      </x:c>
      <x:c r="Q18" s="29"/>
      <x:c r="R18" s="30"/>
      <x:c r="S18" s="24" t="s">
        <x:v>25</x:v>
      </x:c>
      <x:c r="T18" s="24" t="s">
        <x:v>64</x:v>
      </x:c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14" t="s">
        <x:v>65</x:v>
      </x:c>
      <x:c r="B19" s="15" t="s">
        <x:v>66</x:v>
      </x:c>
      <x:c r="C19" s="14">
        <x:v>8.0</x:v>
      </x:c>
      <x:c r="D19" s="14"/>
      <x:c r="E19" s="14"/>
      <x:c r="F19" s="17"/>
      <x:c r="G19" s="14"/>
      <x:c r="H19" s="14"/>
      <x:c r="I19" s="14"/>
      <x:c r="J19" s="14">
        <x:v>4.0</x:v>
      </x:c>
      <x:c r="K19" s="17">
        <x:v>3.0</x:v>
      </x:c>
      <x:c r="L19" s="14"/>
      <x:c r="M19" s="19"/>
      <x:c r="N19" s="45"/>
      <x:c r="O19" s="45"/>
      <x:c r="P19" s="45">
        <x:f t="shared" si="1"/>
        <x:v>0</x:v>
      </x:c>
      <x:c r="Q19" s="29"/>
      <x:c r="R19" s="30"/>
      <x:c r="S19" s="24" t="s">
        <x:v>57</x:v>
      </x:c>
      <x:c r="T19" s="24" t="s">
        <x:v>67</x:v>
      </x:c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14" t="s">
        <x:v>68</x:v>
      </x:c>
      <x:c r="B20" s="15" t="s">
        <x:v>69</x:v>
      </x:c>
      <x:c r="C20" s="14">
        <x:v>5.0</x:v>
      </x:c>
      <x:c r="D20" s="14"/>
      <x:c r="E20" s="14"/>
      <x:c r="F20" s="17"/>
      <x:c r="G20" s="14"/>
      <x:c r="H20" s="14"/>
      <x:c r="I20" s="14"/>
      <x:c r="J20" s="14">
        <x:v>4.0</x:v>
      </x:c>
      <x:c r="K20" s="17">
        <x:v>3.0</x:v>
      </x:c>
      <x:c r="L20" s="14"/>
      <x:c r="M20" s="19"/>
      <x:c r="N20" s="45"/>
      <x:c r="O20" s="45"/>
      <x:c r="P20" s="45">
        <x:f t="shared" si="1"/>
        <x:v>0</x:v>
      </x:c>
      <x:c r="Q20" s="29"/>
      <x:c r="R20" s="30"/>
      <x:c r="S20" s="24" t="s">
        <x:v>25</x:v>
      </x:c>
      <x:c r="T20" s="24" t="s">
        <x:v>70</x:v>
      </x:c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31" t="s">
        <x:v>71</x:v>
      </x:c>
      <x:c r="B21" s="24" t="s">
        <x:v>72</x:v>
      </x:c>
      <x:c r="C21" s="31">
        <x:v>9.0</x:v>
      </x:c>
      <x:c r="D21" s="31"/>
      <x:c r="E21" s="31"/>
      <x:c r="F21" s="17"/>
      <x:c r="G21" s="31"/>
      <x:c r="H21" s="31"/>
      <x:c r="I21" s="31"/>
      <x:c r="J21" s="31">
        <x:v>3.0</x:v>
      </x:c>
      <x:c r="K21" s="17">
        <x:v>3.0</x:v>
      </x:c>
      <x:c r="L21" s="31"/>
      <x:c r="M21" s="19"/>
      <x:c r="N21" s="46"/>
      <x:c r="O21" s="46"/>
      <x:c r="P21" s="45">
        <x:f t="shared" si="1"/>
        <x:v>0</x:v>
      </x:c>
      <x:c r="Q21" s="30"/>
      <x:c r="R21" s="30"/>
      <x:c r="S21" s="24" t="s">
        <x:v>57</x:v>
      </x:c>
      <x:c r="T21" s="24" t="s">
        <x:v>73</x:v>
      </x:c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  <x:c r="AC466" s="4"/>
      <x:c r="AD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  <x:c r="AC508" s="4"/>
      <x:c r="AD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  <x:c r="AC509" s="4"/>
      <x:c r="AD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  <x:c r="AC510" s="4"/>
      <x:c r="AD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  <x:c r="AC511" s="4"/>
      <x:c r="AD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  <x:c r="AC512" s="4"/>
      <x:c r="AD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  <x:c r="AC513" s="4"/>
      <x:c r="AD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  <x:c r="AC514" s="4"/>
      <x:c r="AD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  <x:c r="AC515" s="4"/>
      <x:c r="AD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  <x:c r="AC516" s="4"/>
      <x:c r="AD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  <x:c r="AC517" s="4"/>
      <x:c r="AD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  <x:c r="AC518" s="4"/>
      <x:c r="AD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  <x:c r="AC519" s="4"/>
      <x:c r="AD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  <x:c r="AC520" s="4"/>
      <x:c r="AD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  <x:c r="AC521" s="4"/>
      <x:c r="AD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  <x:c r="AC522" s="4"/>
      <x:c r="AD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  <x:c r="AC523" s="4"/>
      <x:c r="AD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  <x:c r="AC524" s="4"/>
      <x:c r="AD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  <x:c r="AB525" s="4"/>
      <x:c r="AC525" s="4"/>
      <x:c r="AD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  <x:c r="AB526" s="4"/>
      <x:c r="AC526" s="4"/>
      <x:c r="AD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  <x:c r="AC527" s="4"/>
      <x:c r="AD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  <x:c r="AC528" s="4"/>
      <x:c r="AD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  <x:c r="AC529" s="4"/>
      <x:c r="AD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  <x:c r="AC530" s="4"/>
      <x:c r="AD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  <x:c r="AC531" s="4"/>
      <x:c r="AD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  <x:c r="AC532" s="4"/>
      <x:c r="AD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  <x:c r="AC533" s="4"/>
      <x:c r="AD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  <x:c r="AC534" s="4"/>
      <x:c r="AD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  <x:c r="AC535" s="4"/>
      <x:c r="AD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  <x:c r="AC536" s="4"/>
      <x:c r="AD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  <x:c r="AC537" s="4"/>
      <x:c r="AD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  <x:c r="AC538" s="4"/>
      <x:c r="AD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  <x:c r="AC539" s="4"/>
      <x:c r="AD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  <x:c r="AC540" s="4"/>
      <x:c r="AD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  <x:c r="AC541" s="4"/>
      <x:c r="AD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  <x:c r="AC542" s="4"/>
      <x:c r="AD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  <x:c r="AC543" s="4"/>
      <x:c r="AD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  <x:c r="AC597" s="4"/>
      <x:c r="AD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  <x:c r="AC598" s="4"/>
      <x:c r="AD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  <x:c r="AC599" s="4"/>
      <x:c r="AD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  <x:c r="AC600" s="4"/>
      <x:c r="AD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  <x:c r="AC601" s="4"/>
      <x:c r="AD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  <x:c r="AC602" s="4"/>
      <x:c r="AD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  <x:c r="AC603" s="4"/>
      <x:c r="AD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  <x:c r="AC604" s="4"/>
      <x:c r="AD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  <x:c r="AC605" s="4"/>
      <x:c r="AD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  <x:c r="AC606" s="4"/>
      <x:c r="AD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  <x:c r="AC607" s="4"/>
      <x:c r="AD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  <x:c r="AC608" s="4"/>
      <x:c r="AD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  <x:c r="AC609" s="4"/>
      <x:c r="AD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  <x:c r="AC610" s="4"/>
      <x:c r="AD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  <x:c r="AC611" s="4"/>
      <x:c r="AD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  <x:c r="AC612" s="4"/>
      <x:c r="AD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  <x:c r="AC613" s="4"/>
      <x:c r="AD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  <x:c r="AB614" s="4"/>
      <x:c r="AC614" s="4"/>
      <x:c r="AD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  <x:c r="AB615" s="4"/>
      <x:c r="AC615" s="4"/>
      <x:c r="AD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  <x:c r="AC616" s="4"/>
      <x:c r="AD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  <x:c r="AC617" s="4"/>
      <x:c r="AD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  <x:c r="AC618" s="4"/>
      <x:c r="AD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  <x:c r="AC619" s="4"/>
      <x:c r="AD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  <x:c r="AC620" s="4"/>
      <x:c r="AD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  <x:c r="AC621" s="4"/>
      <x:c r="AD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  <x:c r="AC622" s="4"/>
      <x:c r="AD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  <x:c r="AC623" s="4"/>
      <x:c r="AD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  <x:c r="AC624" s="4"/>
      <x:c r="AD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  <x:c r="AC625" s="4"/>
      <x:c r="AD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  <x:c r="AC626" s="4"/>
      <x:c r="AD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  <x:c r="AC627" s="4"/>
      <x:c r="AD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  <x:c r="AC628" s="4"/>
      <x:c r="AD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  <x:c r="AC629" s="4"/>
      <x:c r="AD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  <x:c r="AC630" s="4"/>
      <x:c r="AD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  <x:c r="AC631" s="4"/>
      <x:c r="AD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  <x:c r="AC632" s="4"/>
      <x:c r="AD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  <x:c r="AC720" s="4"/>
      <x:c r="AD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  <x:c r="AC721" s="4"/>
      <x:c r="AD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  <x:c r="AC722" s="4"/>
      <x:c r="AD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  <x:c r="AC723" s="4"/>
      <x:c r="AD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  <x:c r="AC724" s="4"/>
      <x:c r="AD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  <x:c r="AC725" s="4"/>
      <x:c r="AD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  <x:c r="AC726" s="4"/>
      <x:c r="AD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  <x:c r="AC727" s="4"/>
      <x:c r="AD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  <x:c r="AC728" s="4"/>
      <x:c r="AD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  <x:c r="AC729" s="4"/>
      <x:c r="AD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  <x:c r="AC730" s="4"/>
      <x:c r="AD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  <x:c r="AC731" s="4"/>
      <x:c r="AD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  <x:c r="AC732" s="4"/>
      <x:c r="AD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  <x:c r="AC733" s="4"/>
      <x:c r="AD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  <x:c r="AC734" s="4"/>
      <x:c r="AD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  <x:c r="AC735" s="4"/>
      <x:c r="AD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  <x:c r="AC736" s="4"/>
      <x:c r="AD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  <x:c r="AB737" s="4"/>
      <x:c r="AC737" s="4"/>
      <x:c r="AD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  <x:c r="AB738" s="4"/>
      <x:c r="AC738" s="4"/>
      <x:c r="AD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  <x:c r="AB739" s="4"/>
      <x:c r="AC739" s="4"/>
      <x:c r="AD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  <x:c r="AB740" s="4"/>
      <x:c r="AC740" s="4"/>
      <x:c r="AD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  <x:c r="AB741" s="4"/>
      <x:c r="AC741" s="4"/>
      <x:c r="AD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  <x:c r="AB742" s="4"/>
      <x:c r="AC742" s="4"/>
      <x:c r="AD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  <x:c r="AB743" s="4"/>
      <x:c r="AC743" s="4"/>
      <x:c r="AD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  <x:c r="AB744" s="4"/>
      <x:c r="AC744" s="4"/>
      <x:c r="AD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  <x:c r="AC745" s="4"/>
      <x:c r="AD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  <x:c r="AC746" s="4"/>
      <x:c r="AD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  <x:c r="AC747" s="4"/>
      <x:c r="AD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  <x:c r="AC748" s="4"/>
      <x:c r="AD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  <x:c r="AC749" s="4"/>
      <x:c r="AD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  <x:c r="AC750" s="4"/>
      <x:c r="AD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  <x:c r="AC751" s="4"/>
      <x:c r="AD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  <x:c r="AC752" s="4"/>
      <x:c r="AD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  <x:c r="AC753" s="4"/>
      <x:c r="AD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  <x:c r="AC754" s="4"/>
      <x:c r="AD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  <x:c r="AC755" s="4"/>
      <x:c r="AD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  <x:c r="AC756" s="4"/>
      <x:c r="AD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  <x:c r="AC757" s="4"/>
      <x:c r="AD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  <x:c r="AC758" s="4"/>
      <x:c r="AD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  <x:c r="AC759" s="4"/>
      <x:c r="AD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  <x:c r="AC760" s="4"/>
      <x:c r="AD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  <x:c r="AC761" s="4"/>
      <x:c r="AD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  <x:c r="AC838" s="4"/>
      <x:c r="AD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  <x:c r="AC839" s="4"/>
      <x:c r="AD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  <x:c r="AC840" s="4"/>
      <x:c r="AD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  <x:c r="AC852" s="4"/>
      <x:c r="AD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  <x:c r="AC853" s="4"/>
      <x:c r="AD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  <x:c r="AC854" s="4"/>
      <x:c r="AD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  <x:c r="AC855" s="4"/>
      <x:c r="AD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  <x:c r="AC856" s="4"/>
      <x:c r="AD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  <x:c r="AC857" s="4"/>
      <x:c r="AD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  <x:c r="AC858" s="4"/>
      <x:c r="AD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  <x:c r="AC859" s="4"/>
      <x:c r="AD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  <x:c r="AC860" s="4"/>
      <x:c r="AD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  <x:c r="AC861" s="4"/>
      <x:c r="AD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  <x:c r="AC862" s="4"/>
      <x:c r="AD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  <x:c r="AC864" s="4"/>
      <x:c r="AD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  <x:c r="AC865" s="4"/>
      <x:c r="AD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  <x:c r="AC866" s="4"/>
      <x:c r="AD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  <x:c r="AC867" s="4"/>
      <x:c r="AD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  <x:c r="AC868" s="4"/>
      <x:c r="AD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  <x:c r="AC869" s="4"/>
      <x:c r="AD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  <x:c r="AC870" s="4"/>
      <x:c r="AD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  <x:c r="AC871" s="4"/>
      <x:c r="AD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  <x:c r="AC872" s="4"/>
      <x:c r="AD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  <x:c r="AC873" s="4"/>
      <x:c r="AD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  <x:c r="AC874" s="4"/>
      <x:c r="AD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  <x:c r="AC875" s="4"/>
      <x:c r="AD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  <x:c r="AC876" s="4"/>
      <x:c r="AD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  <x:c r="AC877" s="4"/>
      <x:c r="AD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  <x:c r="AC878" s="4"/>
      <x:c r="AD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  <x:c r="AC879" s="4"/>
      <x:c r="AD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  <x:c r="AC880" s="4"/>
      <x:c r="AD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  <x:c r="AC881" s="4"/>
      <x:c r="AD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  <x:c r="AC916" s="4"/>
      <x:c r="AD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  <x:c r="AC917" s="4"/>
      <x:c r="AD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  <x:c r="AC918" s="4"/>
      <x:c r="AD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  <x:c r="AC930" s="4"/>
      <x:c r="AD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  <x:c r="AC931" s="4"/>
      <x:c r="AD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  <x:c r="AC932" s="4"/>
      <x:c r="AD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  <x:c r="AC933" s="4"/>
      <x:c r="AD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  <x:c r="AC934" s="4"/>
      <x:c r="AD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  <x:c r="AC935" s="4"/>
      <x:c r="AD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  <x:c r="AC936" s="4"/>
      <x:c r="AD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  <x:c r="AC937" s="4"/>
      <x:c r="AD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  <x:c r="AC938" s="4"/>
      <x:c r="AD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  <x:c r="AC939" s="4"/>
      <x:c r="AD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  <x:c r="AC940" s="4"/>
      <x:c r="AD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  <x:c r="AC942" s="4"/>
      <x:c r="AD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  <x:c r="AC943" s="4"/>
      <x:c r="AD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  <x:c r="AC944" s="4"/>
      <x:c r="AD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  <x:c r="AC945" s="4"/>
      <x:c r="AD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  <x:c r="AC946" s="4"/>
      <x:c r="AD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  <x:c r="AC947" s="4"/>
      <x:c r="AD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  <x:c r="AC948" s="4"/>
      <x:c r="AD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  <x:c r="AC949" s="4"/>
      <x:c r="AD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  <x:c r="AC950" s="4"/>
      <x:c r="AD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  <x:c r="AC951" s="4"/>
      <x:c r="AD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  <x:c r="AC952" s="4"/>
      <x:c r="AD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  <x:c r="AC953" s="4"/>
      <x:c r="AD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  <x:c r="AC954" s="4"/>
      <x:c r="AD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  <x:c r="AC955" s="4"/>
      <x:c r="AD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  <x:c r="AC956" s="4"/>
      <x:c r="AD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  <x:c r="AC957" s="4"/>
      <x:c r="AD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  <x:c r="AB958" s="4"/>
      <x:c r="AC958" s="4"/>
      <x:c r="AD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  <x:c r="AB959" s="4"/>
      <x:c r="AC959" s="4"/>
      <x:c r="AD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  <x:c r="AC960" s="4"/>
      <x:c r="AD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  <x:c r="AC961" s="4"/>
      <x:c r="AD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  <x:c r="AC962" s="4"/>
      <x:c r="AD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  <x:c r="AC963" s="4"/>
      <x:c r="AD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  <x:c r="AC964" s="4"/>
      <x:c r="AD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  <x:c r="AC965" s="4"/>
      <x:c r="AD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  <x:c r="AC966" s="4"/>
      <x:c r="AD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  <x:c r="AC967" s="4"/>
      <x:c r="AD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  <x:c r="AC968" s="4"/>
      <x:c r="AD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  <x:c r="AC969" s="4"/>
      <x:c r="AD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  <x:c r="AC970" s="4"/>
      <x:c r="AD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  <x:c r="AC971" s="4"/>
      <x:c r="AD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  <x:c r="AC972" s="4"/>
      <x:c r="AD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  <x:c r="AC973" s="4"/>
      <x:c r="AD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  <x:c r="AC974" s="4"/>
      <x:c r="AD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  <x:c r="AC975" s="4"/>
      <x:c r="AD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  <x:c r="AC976" s="4"/>
      <x:c r="AD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  <x:c r="AC977" s="4"/>
      <x:c r="AD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  <x:c r="AC978" s="4"/>
      <x:c r="AD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  <x:c r="AC979" s="4"/>
      <x:c r="AD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  <x:c r="AC980" s="4"/>
      <x:c r="AD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  <x:c r="AC981" s="4"/>
      <x:c r="AD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  <x:c r="AC982" s="4"/>
      <x:c r="AD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  <x:c r="AC983" s="4"/>
      <x:c r="AD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  <x:c r="AC984" s="4"/>
      <x:c r="AD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  <x:c r="AC985" s="4"/>
      <x:c r="AD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  <x:c r="AC986" s="4"/>
      <x:c r="AD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  <x:c r="AC987" s="4"/>
      <x:c r="AD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  <x:c r="AC988" s="4"/>
      <x:c r="AD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  <x:c r="AC989" s="4"/>
      <x:c r="AD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  <x:c r="AC990" s="4"/>
      <x:c r="AD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  <x:c r="AC991" s="4"/>
      <x:c r="AD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  <x:c r="AC992" s="4"/>
      <x:c r="AD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  <x:c r="AC993" s="4"/>
      <x:c r="AD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  <x:c r="AC994" s="4"/>
      <x:c r="AD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  <x:c r="AC995" s="4"/>
      <x:c r="AD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  <x:c r="AC996" s="4"/>
      <x:c r="AD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  <x:c r="AC997" s="4"/>
      <x:c r="AD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  <x:c r="AC998" s="4"/>
      <x:c r="AD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  <x:c r="AB999" s="4"/>
      <x:c r="AC999" s="4"/>
      <x:c r="AD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  <x:c r="AB1000" s="4"/>
      <x:c r="AC1000" s="4"/>
      <x:c r="AD1000" s="4"/>
    </x:row>
    <x:row r="1001">
      <x:c r="A1001" s="4"/>
      <x:c r="B1001" s="4"/>
      <x:c r="C1001" s="4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  <x:c r="Z1001" s="4"/>
      <x:c r="AA1001" s="4"/>
      <x:c r="AB1001" s="4"/>
      <x:c r="AC1001" s="4"/>
      <x:c r="AD1001" s="4"/>
    </x:row>
    <x:row r="1002">
      <x:c r="A1002" s="4"/>
      <x:c r="B1002" s="4"/>
      <x:c r="C1002" s="4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  <x:c r="Z1002" s="4"/>
      <x:c r="AA1002" s="4"/>
      <x:c r="AB1002" s="4"/>
      <x:c r="AC1002" s="4"/>
      <x:c r="AD1002" s="4"/>
    </x:row>
    <x:row r="1003">
      <x:c r="A1003" s="4"/>
      <x:c r="B1003" s="4"/>
      <x:c r="C1003" s="4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  <x:c r="Z1003" s="4"/>
      <x:c r="AA1003" s="4"/>
      <x:c r="AB1003" s="4"/>
      <x:c r="AC1003" s="4"/>
      <x:c r="AD1003" s="4"/>
    </x:row>
    <x:row r="1004">
      <x:c r="A1004" s="4"/>
      <x:c r="B1004" s="4"/>
      <x:c r="C1004" s="4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  <x:c r="Z1004" s="4"/>
      <x:c r="AA1004" s="4"/>
      <x:c r="AB1004" s="4"/>
      <x:c r="AC1004" s="4"/>
      <x:c r="AD1004" s="4"/>
    </x:row>
    <x:row r="1005">
      <x:c r="A1005" s="4"/>
      <x:c r="B1005" s="4"/>
      <x:c r="C1005" s="4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  <x:c r="Z1005" s="4"/>
      <x:c r="AA1005" s="4"/>
      <x:c r="AB1005" s="4"/>
      <x:c r="AC1005" s="4"/>
      <x:c r="AD1005" s="4"/>
    </x:row>
    <x:row r="1006">
      <x:c r="A1006" s="4"/>
      <x:c r="B1006" s="4"/>
      <x:c r="C1006" s="4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  <x:c r="Z1006" s="4"/>
      <x:c r="AA1006" s="4"/>
      <x:c r="AB1006" s="4"/>
      <x:c r="AC1006" s="4"/>
      <x:c r="AD1006" s="4"/>
    </x:row>
    <x:row r="1007">
      <x:c r="A1007" s="4"/>
      <x:c r="B1007" s="4"/>
      <x:c r="C1007" s="4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  <x:c r="Z1007" s="4"/>
      <x:c r="AA1007" s="4"/>
      <x:c r="AB1007" s="4"/>
      <x:c r="AC1007" s="4"/>
      <x:c r="AD1007" s="4"/>
    </x:row>
    <x:row r="1008">
      <x:c r="A1008" s="4"/>
      <x:c r="B1008" s="4"/>
      <x:c r="C1008" s="4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  <x:c r="Z1008" s="4"/>
      <x:c r="AA1008" s="4"/>
      <x:c r="AB1008" s="4"/>
      <x:c r="AC1008" s="4"/>
      <x:c r="AD1008" s="4"/>
    </x:row>
    <x:row r="1009">
      <x:c r="A1009" s="4"/>
      <x:c r="B1009" s="4"/>
      <x:c r="C1009" s="4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  <x:c r="Z1009" s="4"/>
      <x:c r="AA1009" s="4"/>
      <x:c r="AB1009" s="4"/>
      <x:c r="AC1009" s="4"/>
      <x:c r="AD1009" s="4"/>
    </x:row>
    <x:row r="1010">
      <x:c r="A1010" s="4"/>
      <x:c r="B1010" s="4"/>
      <x:c r="C1010" s="4"/>
      <x:c r="D1010" s="4"/>
      <x:c r="E1010" s="4"/>
      <x:c r="F1010" s="4"/>
      <x:c r="G1010" s="4"/>
      <x:c r="H1010" s="4"/>
      <x:c r="I1010" s="4"/>
      <x:c r="J1010" s="4"/>
      <x:c r="K1010" s="4"/>
      <x:c r="L1010" s="4"/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4"/>
      <x:c r="W1010" s="4"/>
      <x:c r="X1010" s="4"/>
      <x:c r="Y1010" s="4"/>
      <x:c r="Z1010" s="4"/>
      <x:c r="AA1010" s="4"/>
      <x:c r="AB1010" s="4"/>
      <x:c r="AC1010" s="4"/>
      <x:c r="AD1010" s="4"/>
    </x:row>
    <x:row r="1011">
      <x:c r="A1011" s="4"/>
      <x:c r="B1011" s="4"/>
      <x:c r="C1011" s="4"/>
      <x:c r="D1011" s="4"/>
      <x:c r="E1011" s="4"/>
      <x:c r="F1011" s="4"/>
      <x:c r="G1011" s="4"/>
      <x:c r="H1011" s="4"/>
      <x:c r="I1011" s="4"/>
      <x:c r="J1011" s="4"/>
      <x:c r="K1011" s="4"/>
      <x:c r="L1011" s="4"/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4"/>
      <x:c r="W1011" s="4"/>
      <x:c r="X1011" s="4"/>
      <x:c r="Y1011" s="4"/>
      <x:c r="Z1011" s="4"/>
      <x:c r="AA1011" s="4"/>
      <x:c r="AB1011" s="4"/>
      <x:c r="AC1011" s="4"/>
      <x:c r="AD1011" s="4"/>
    </x:row>
  </x:sheetData>
  <x:mergeCells>
    <x:mergeCell ref="F3:F4"/>
    <x:mergeCell ref="G3:G4"/>
    <x:mergeCell ref="H3:H4"/>
    <x:mergeCell ref="I3:I4"/>
    <x:mergeCell ref="J3:L3"/>
    <x:mergeCell ref="M3:M4"/>
    <x:mergeCell ref="N3:N4"/>
    <x:mergeCell ref="O3:O4"/>
    <x:mergeCell ref="P3:P4"/>
    <x:mergeCell ref="Q3:Q4"/>
    <x:mergeCell ref="R3:R4"/>
    <x:mergeCell ref="S3:S4"/>
    <x:mergeCell ref="A1:T1"/>
    <x:mergeCell ref="A2:T2"/>
    <x:mergeCell ref="A3:A4"/>
    <x:mergeCell ref="B3:B4"/>
    <x:mergeCell ref="C3:C4"/>
    <x:mergeCell ref="D3:D4"/>
    <x:mergeCell ref="E3:E4"/>
  </x:mergeCells>
  <x:hyperlinks>
    <x:hyperlink xmlns:r="http://schemas.openxmlformats.org/officeDocument/2006/relationships" ref="A2" r:id="R05d937e0f8a94b9c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8.25" customWidth="1"/>
    <x:col min="2" max="2" width="26.6299991607666" customWidth="1"/>
    <x:col min="6" max="6" width="12.630000114440918" customWidth="1"/>
    <x:col min="13" max="13" width="12.630000114440918" customWidth="1"/>
    <x:col min="20" max="20" width="50.380001068115234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3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5" t="s">
        <x:v>89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3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7" t="s">
        <x:v>7</x:v>
      </x:c>
      <x:c r="G3" s="8" t="s">
        <x:v>8</x:v>
      </x:c>
      <x:c r="H3" s="6" t="s">
        <x:v>9</x:v>
      </x:c>
      <x:c r="I3" s="8" t="s">
        <x:v>10</x:v>
      </x:c>
      <x:c r="J3" s="9" t="s">
        <x:v>11</x:v>
      </x:c>
      <x:c r="K3" s="2"/>
      <x:c r="L3" s="3"/>
      <x:c r="M3" s="7" t="s">
        <x:v>12</x:v>
      </x:c>
      <x:c r="N3" s="6" t="s">
        <x:v>13</x:v>
      </x:c>
      <x:c r="O3" s="6" t="s">
        <x:v>14</x:v>
      </x:c>
      <x:c r="P3" s="6" t="s">
        <x:v>15</x:v>
      </x:c>
      <x:c r="Q3" s="6" t="s">
        <x:v>16</x:v>
      </x:c>
      <x:c r="R3" s="10" t="s">
        <x:v>17</x:v>
      </x:c>
      <x:c r="S3" s="10" t="s">
        <x:v>18</x:v>
      </x:c>
      <x:c r="T3" s="11" t="s">
        <x:v>19</x:v>
      </x:c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2.5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3" t="s">
        <x:v>20</x:v>
      </x:c>
      <x:c r="K4" s="13" t="s">
        <x:v>21</x:v>
      </x:c>
      <x:c r="L4" s="13" t="s">
        <x:v>22</x:v>
      </x:c>
      <x:c r="M4" s="12"/>
      <x:c r="N4" s="12"/>
      <x:c r="O4" s="12"/>
      <x:c r="P4" s="12"/>
      <x:c r="Q4" s="12"/>
      <x:c r="R4" s="12"/>
      <x:c r="S4" s="12"/>
      <x:c r="T4" s="11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14" t="s">
        <x:v>23</x:v>
      </x:c>
      <x:c r="B5" s="14" t="s">
        <x:v>24</x:v>
      </x:c>
      <x:c r="C5" s="14">
        <x:v>11.0</x:v>
      </x:c>
      <x:c r="D5" s="14">
        <x:v>5.0</x:v>
      </x:c>
      <x:c r="E5" s="14">
        <x:v>6.0</x:v>
      </x:c>
      <x:c r="F5" s="17"/>
      <x:c r="G5" s="48">
        <x:v>410.695</x:v>
      </x:c>
      <x:c r="H5" s="14">
        <x:v>7.0</x:v>
      </x:c>
      <x:c r="I5" s="14">
        <x:v>725.642</x:v>
      </x:c>
      <x:c r="J5" s="18">
        <x:v>46145.0</x:v>
      </x:c>
      <x:c r="K5" s="17">
        <x:v>4.0</x:v>
      </x:c>
      <x:c r="L5" s="14"/>
      <x:c r="M5" s="19"/>
      <x:c r="N5" s="49">
        <x:v>2112134.0</x:v>
      </x:c>
      <x:c r="O5" s="46">
        <x:v>1.2626991E7</x:v>
      </x:c>
      <x:c r="P5" s="45" t="n">
        <x:f t="shared" ref="P5:P21" si="1">SUM(M5:O5)</x:f>
        <x:v>14739125</x:v>
      </x:c>
      <x:c r="Q5" s="29">
        <x:v>1.0</x:v>
      </x:c>
      <x:c r="R5" s="30">
        <x:v>1.0</x:v>
      </x:c>
      <x:c r="S5" s="31" t="s">
        <x:v>57</x:v>
      </x:c>
      <x:c r="T5" s="24" t="s">
        <x:v>109</x:v>
      </x:c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14" t="s">
        <x:v>26</x:v>
      </x:c>
      <x:c r="B6" s="14" t="s">
        <x:v>27</x:v>
      </x:c>
      <x:c r="C6" s="14">
        <x:v>6.0</x:v>
      </x:c>
      <x:c r="D6" s="14">
        <x:v>0.0</x:v>
      </x:c>
      <x:c r="E6" s="14">
        <x:v>6.0</x:v>
      </x:c>
      <x:c r="F6" s="17"/>
      <x:c r="G6" s="14">
        <x:v>142.035</x:v>
      </x:c>
      <x:c r="H6" s="14">
        <x:v>2.0</x:v>
      </x:c>
      <x:c r="I6" s="14">
        <x:v>227.926</x:v>
      </x:c>
      <x:c r="J6" s="14">
        <x:v>3.0</x:v>
      </x:c>
      <x:c r="K6" s="17">
        <x:v>4.0</x:v>
      </x:c>
      <x:c r="L6" s="14"/>
      <x:c r="M6" s="19"/>
      <x:c r="N6" s="45">
        <x:v>8454806.0</x:v>
      </x:c>
      <x:c r="O6" s="46">
        <x:v>200123.0</x:v>
      </x:c>
      <x:c r="P6" s="45">
        <x:f t="shared" si="1"/>
        <x:v>8654929</x:v>
      </x:c>
      <x:c r="Q6" s="29">
        <x:v>1.0</x:v>
      </x:c>
      <x:c r="R6" s="30">
        <x:v>1.0</x:v>
      </x:c>
      <x:c r="S6" s="31" t="s">
        <x:v>25</x:v>
      </x:c>
      <x:c r="T6" s="24" t="s">
        <x:v>110</x:v>
      </x:c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14" t="s">
        <x:v>30</x:v>
      </x:c>
      <x:c r="B7" s="14" t="s">
        <x:v>31</x:v>
      </x:c>
      <x:c r="C7" s="14">
        <x:v>7.0</x:v>
      </x:c>
      <x:c r="D7" s="14">
        <x:v>2.0</x:v>
      </x:c>
      <x:c r="E7" s="14">
        <x:v>5.0</x:v>
      </x:c>
      <x:c r="F7" s="17"/>
      <x:c r="G7" s="14">
        <x:v>568.965</x:v>
      </x:c>
      <x:c r="H7" s="14">
        <x:v>8.0</x:v>
      </x:c>
      <x:c r="I7" s="14">
        <x:v>429.824</x:v>
      </x:c>
      <x:c r="J7" s="14">
        <x:v>3.0</x:v>
      </x:c>
      <x:c r="K7" s="17">
        <x:v>4.0</x:v>
      </x:c>
      <x:c r="L7" s="14"/>
      <x:c r="M7" s="19"/>
      <x:c r="N7" s="49">
        <x:v>5919151.0</x:v>
      </x:c>
      <x:c r="O7" s="49">
        <x:v>4426149.0</x:v>
      </x:c>
      <x:c r="P7" s="49">
        <x:f t="shared" si="1"/>
        <x:v>10345300</x:v>
      </x:c>
      <x:c r="Q7" s="29">
        <x:v>1.0</x:v>
      </x:c>
      <x:c r="R7" s="30">
        <x:v>1.0</x:v>
      </x:c>
      <x:c r="S7" s="31" t="s">
        <x:v>25</x:v>
      </x:c>
      <x:c r="T7" s="2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14" t="s">
        <x:v>32</x:v>
      </x:c>
      <x:c r="B8" s="14" t="s">
        <x:v>33</x:v>
      </x:c>
      <x:c r="C8" s="14">
        <x:v>8.0</x:v>
      </x:c>
      <x:c r="D8" s="14">
        <x:v>3.0</x:v>
      </x:c>
      <x:c r="E8" s="14">
        <x:v>5.0</x:v>
      </x:c>
      <x:c r="F8" s="37"/>
      <x:c r="G8" s="27">
        <x:v>963394.0</x:v>
      </x:c>
      <x:c r="H8" s="14">
        <x:v>6.0</x:v>
      </x:c>
      <x:c r="I8" s="14">
        <x:v>515.0</x:v>
      </x:c>
      <x:c r="J8" s="14">
        <x:v>3.0</x:v>
      </x:c>
      <x:c r="K8" s="17">
        <x:v>6.0</x:v>
      </x:c>
      <x:c r="L8" s="14"/>
      <x:c r="M8" s="19"/>
      <x:c r="N8" s="45">
        <x:v>5444786.0</x:v>
      </x:c>
      <x:c r="O8" s="49">
        <x:v>8039568.0</x:v>
      </x:c>
      <x:c r="P8" s="45">
        <x:f t="shared" si="1"/>
        <x:v>13484354</x:v>
      </x:c>
      <x:c r="Q8" s="29">
        <x:v>0.95</x:v>
      </x:c>
      <x:c r="R8" s="30">
        <x:v>1.0</x:v>
      </x:c>
      <x:c r="S8" s="31" t="s">
        <x:v>25</x:v>
      </x:c>
      <x:c r="T8" s="24" t="s">
        <x:v>111</x:v>
      </x:c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14" t="s">
        <x:v>34</x:v>
      </x:c>
      <x:c r="B9" s="14" t="s">
        <x:v>35</x:v>
      </x:c>
      <x:c r="C9" s="14">
        <x:v>7.0</x:v>
      </x:c>
      <x:c r="D9" s="14"/>
      <x:c r="E9" s="14"/>
      <x:c r="F9" s="17"/>
      <x:c r="G9" s="50"/>
      <x:c r="H9" s="14"/>
      <x:c r="I9" s="14"/>
      <x:c r="J9" s="18">
        <x:v>46144.0</x:v>
      </x:c>
      <x:c r="K9" s="17">
        <x:v>3.0</x:v>
      </x:c>
      <x:c r="L9" s="14">
        <x:v>3.0</x:v>
      </x:c>
      <x:c r="M9" s="19"/>
      <x:c r="N9" s="45"/>
      <x:c r="O9" s="46"/>
      <x:c r="P9" s="45">
        <x:f t="shared" si="1"/>
        <x:v>0</x:v>
      </x:c>
      <x:c r="Q9" s="29"/>
      <x:c r="R9" s="30"/>
      <x:c r="S9" s="31" t="s">
        <x:v>25</x:v>
      </x:c>
      <x:c r="T9" s="2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14" t="s">
        <x:v>37</x:v>
      </x:c>
      <x:c r="B10" s="14" t="s">
        <x:v>38</x:v>
      </x:c>
      <x:c r="C10" s="14">
        <x:v>9.0</x:v>
      </x:c>
      <x:c r="D10" s="14"/>
      <x:c r="E10" s="14"/>
      <x:c r="F10" s="17"/>
      <x:c r="G10" s="14"/>
      <x:c r="H10" s="14"/>
      <x:c r="I10" s="14"/>
      <x:c r="J10" s="14">
        <x:v>3.0</x:v>
      </x:c>
      <x:c r="K10" s="17">
        <x:v>3.0</x:v>
      </x:c>
      <x:c r="L10" s="14">
        <x:v>3.0</x:v>
      </x:c>
      <x:c r="M10" s="19"/>
      <x:c r="N10" s="45"/>
      <x:c r="O10" s="46"/>
      <x:c r="P10" s="45">
        <x:f t="shared" si="1"/>
        <x:v>0</x:v>
      </x:c>
      <x:c r="Q10" s="29"/>
      <x:c r="R10" s="30"/>
      <x:c r="S10" s="31" t="s">
        <x:v>25</x:v>
      </x:c>
      <x:c r="T10" s="2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14" t="s">
        <x:v>40</x:v>
      </x:c>
      <x:c r="B11" s="14" t="s">
        <x:v>41</x:v>
      </x:c>
      <x:c r="C11" s="14">
        <x:v>5.0</x:v>
      </x:c>
      <x:c r="D11" s="14"/>
      <x:c r="E11" s="14"/>
      <x:c r="F11" s="17"/>
      <x:c r="G11" s="14"/>
      <x:c r="H11" s="14"/>
      <x:c r="I11" s="14"/>
      <x:c r="J11" s="18">
        <x:v>46144.0</x:v>
      </x:c>
      <x:c r="K11" s="17">
        <x:v>3.0</x:v>
      </x:c>
      <x:c r="L11" s="14">
        <x:v>3.0</x:v>
      </x:c>
      <x:c r="M11" s="19"/>
      <x:c r="N11" s="45"/>
      <x:c r="O11" s="46"/>
      <x:c r="P11" s="45">
        <x:f t="shared" si="1"/>
        <x:v>0</x:v>
      </x:c>
      <x:c r="Q11" s="29"/>
      <x:c r="R11" s="30"/>
      <x:c r="S11" s="31" t="s">
        <x:v>25</x:v>
      </x:c>
      <x:c r="T11" s="2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14" t="s">
        <x:v>43</x:v>
      </x:c>
      <x:c r="B12" s="14" t="s">
        <x:v>44</x:v>
      </x:c>
      <x:c r="C12" s="14">
        <x:v>9.0</x:v>
      </x:c>
      <x:c r="D12" s="14"/>
      <x:c r="E12" s="14"/>
      <x:c r="F12" s="17"/>
      <x:c r="G12" s="14"/>
      <x:c r="H12" s="14"/>
      <x:c r="I12" s="14"/>
      <x:c r="J12" s="14">
        <x:v>2.0</x:v>
      </x:c>
      <x:c r="K12" s="17">
        <x:v>2.0</x:v>
      </x:c>
      <x:c r="L12" s="18">
        <x:v>46144.0</x:v>
      </x:c>
      <x:c r="M12" s="19"/>
      <x:c r="N12" s="45"/>
      <x:c r="O12" s="46"/>
      <x:c r="P12" s="45">
        <x:f t="shared" si="1"/>
        <x:v>0</x:v>
      </x:c>
      <x:c r="Q12" s="29"/>
      <x:c r="R12" s="30"/>
      <x:c r="S12" s="31" t="s">
        <x:v>25</x:v>
      </x:c>
      <x:c r="T12" s="2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14" t="s">
        <x:v>46</x:v>
      </x:c>
      <x:c r="B13" s="14" t="s">
        <x:v>47</x:v>
      </x:c>
      <x:c r="C13" s="14">
        <x:v>9.0</x:v>
      </x:c>
      <x:c r="D13" s="14"/>
      <x:c r="E13" s="14"/>
      <x:c r="F13" s="17"/>
      <x:c r="G13" s="14"/>
      <x:c r="H13" s="14"/>
      <x:c r="I13" s="14"/>
      <x:c r="J13" s="14">
        <x:v>2.0</x:v>
      </x:c>
      <x:c r="K13" s="17">
        <x:v>2.0</x:v>
      </x:c>
      <x:c r="L13" s="18">
        <x:v>46144.0</x:v>
      </x:c>
      <x:c r="M13" s="19"/>
      <x:c r="N13" s="45"/>
      <x:c r="O13" s="46"/>
      <x:c r="P13" s="45">
        <x:f t="shared" si="1"/>
        <x:v>0</x:v>
      </x:c>
      <x:c r="Q13" s="29"/>
      <x:c r="R13" s="30"/>
      <x:c r="S13" s="31" t="s">
        <x:v>25</x:v>
      </x:c>
      <x:c r="T13" s="2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14" t="s">
        <x:v>49</x:v>
      </x:c>
      <x:c r="B14" s="14" t="s">
        <x:v>50</x:v>
      </x:c>
      <x:c r="C14" s="14">
        <x:v>9.0</x:v>
      </x:c>
      <x:c r="D14" s="14"/>
      <x:c r="E14" s="14"/>
      <x:c r="F14" s="17"/>
      <x:c r="G14" s="14"/>
      <x:c r="H14" s="14"/>
      <x:c r="I14" s="14"/>
      <x:c r="J14" s="18">
        <x:v>46143.0</x:v>
      </x:c>
      <x:c r="K14" s="17">
        <x:v>2.0</x:v>
      </x:c>
      <x:c r="L14" s="14">
        <x:v>2.0</x:v>
      </x:c>
      <x:c r="M14" s="19"/>
      <x:c r="N14" s="45"/>
      <x:c r="O14" s="46"/>
      <x:c r="P14" s="45">
        <x:f t="shared" si="1"/>
        <x:v>0</x:v>
      </x:c>
      <x:c r="Q14" s="29"/>
      <x:c r="R14" s="30"/>
      <x:c r="S14" s="31" t="s">
        <x:v>25</x:v>
      </x:c>
      <x:c r="T14" s="2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14" t="s">
        <x:v>52</x:v>
      </x:c>
      <x:c r="B15" s="14" t="s">
        <x:v>53</x:v>
      </x:c>
      <x:c r="C15" s="14">
        <x:v>3.0</x:v>
      </x:c>
      <x:c r="D15" s="14"/>
      <x:c r="E15" s="14"/>
      <x:c r="F15" s="17"/>
      <x:c r="G15" s="14"/>
      <x:c r="H15" s="14"/>
      <x:c r="I15" s="14"/>
      <x:c r="J15" s="14">
        <x:v>3.0</x:v>
      </x:c>
      <x:c r="K15" s="17">
        <x:v>3.0</x:v>
      </x:c>
      <x:c r="L15" s="14"/>
      <x:c r="M15" s="19"/>
      <x:c r="N15" s="45"/>
      <x:c r="O15" s="46"/>
      <x:c r="P15" s="45">
        <x:f t="shared" si="1"/>
        <x:v>0</x:v>
      </x:c>
      <x:c r="Q15" s="29"/>
      <x:c r="R15" s="30"/>
      <x:c r="S15" s="31" t="s">
        <x:v>25</x:v>
      </x:c>
      <x:c r="T15" s="2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14" t="s">
        <x:v>55</x:v>
      </x:c>
      <x:c r="B16" s="14" t="s">
        <x:v>56</x:v>
      </x:c>
      <x:c r="C16" s="14">
        <x:v>9.0</x:v>
      </x:c>
      <x:c r="D16" s="14"/>
      <x:c r="E16" s="14"/>
      <x:c r="F16" s="17"/>
      <x:c r="G16" s="14"/>
      <x:c r="H16" s="14"/>
      <x:c r="I16" s="14"/>
      <x:c r="J16" s="18">
        <x:v>46146.0</x:v>
      </x:c>
      <x:c r="K16" s="17">
        <x:v>3.0</x:v>
      </x:c>
      <x:c r="L16" s="14"/>
      <x:c r="M16" s="19"/>
      <x:c r="N16" s="45"/>
      <x:c r="O16" s="46"/>
      <x:c r="P16" s="45">
        <x:f t="shared" si="1"/>
        <x:v>0</x:v>
      </x:c>
      <x:c r="Q16" s="29"/>
      <x:c r="R16" s="30"/>
      <x:c r="S16" s="31" t="s">
        <x:v>57</x:v>
      </x:c>
      <x:c r="T16" s="2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14" t="s">
        <x:v>59</x:v>
      </x:c>
      <x:c r="B17" s="14" t="s">
        <x:v>60</x:v>
      </x:c>
      <x:c r="C17" s="14">
        <x:v>7.0</x:v>
      </x:c>
      <x:c r="D17" s="14"/>
      <x:c r="E17" s="14"/>
      <x:c r="F17" s="17"/>
      <x:c r="G17" s="14"/>
      <x:c r="H17" s="14"/>
      <x:c r="I17" s="14"/>
      <x:c r="J17" s="14">
        <x:v>3.0</x:v>
      </x:c>
      <x:c r="K17" s="17">
        <x:v>2.0</x:v>
      </x:c>
      <x:c r="L17" s="14"/>
      <x:c r="M17" s="19"/>
      <x:c r="N17" s="45"/>
      <x:c r="O17" s="46"/>
      <x:c r="P17" s="45">
        <x:f t="shared" si="1"/>
        <x:v>0</x:v>
      </x:c>
      <x:c r="Q17" s="29"/>
      <x:c r="R17" s="30"/>
      <x:c r="S17" s="31" t="s">
        <x:v>87</x:v>
      </x:c>
      <x:c r="T17" s="2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14" t="s">
        <x:v>62</x:v>
      </x:c>
      <x:c r="B18" s="14" t="s">
        <x:v>63</x:v>
      </x:c>
      <x:c r="C18" s="14">
        <x:v>3.0</x:v>
      </x:c>
      <x:c r="D18" s="14"/>
      <x:c r="E18" s="14"/>
      <x:c r="F18" s="17"/>
      <x:c r="G18" s="14"/>
      <x:c r="H18" s="14"/>
      <x:c r="I18" s="14"/>
      <x:c r="J18" s="14">
        <x:v>2.0</x:v>
      </x:c>
      <x:c r="K18" s="17">
        <x:v>2.0</x:v>
      </x:c>
      <x:c r="L18" s="14"/>
      <x:c r="M18" s="19"/>
      <x:c r="N18" s="45"/>
      <x:c r="O18" s="45"/>
      <x:c r="P18" s="45">
        <x:f t="shared" si="1"/>
        <x:v>0</x:v>
      </x:c>
      <x:c r="Q18" s="29"/>
      <x:c r="R18" s="30"/>
      <x:c r="S18" s="31" t="s">
        <x:v>25</x:v>
      </x:c>
      <x:c r="T18" s="2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14" t="s">
        <x:v>65</x:v>
      </x:c>
      <x:c r="B19" s="14" t="s">
        <x:v>66</x:v>
      </x:c>
      <x:c r="C19" s="14">
        <x:v>8.0</x:v>
      </x:c>
      <x:c r="D19" s="14">
        <x:v>0.0</x:v>
      </x:c>
      <x:c r="E19" s="14">
        <x:v>8.0</x:v>
      </x:c>
      <x:c r="F19" s="17"/>
      <x:c r="G19" s="14">
        <x:v>390.0</x:v>
      </x:c>
      <x:c r="H19" s="14">
        <x:v>9.0</x:v>
      </x:c>
      <x:c r="I19" s="27">
        <x:v>509107.0</x:v>
      </x:c>
      <x:c r="J19" s="14">
        <x:v>4.0</x:v>
      </x:c>
      <x:c r="K19" s="17">
        <x:v>3.0</x:v>
      </x:c>
      <x:c r="L19" s="14"/>
      <x:c r="M19" s="19"/>
      <x:c r="N19" s="49">
        <x:v>5951236.0</x:v>
      </x:c>
      <x:c r="O19" s="45">
        <x:v>6292509.0</x:v>
      </x:c>
      <x:c r="P19" s="45">
        <x:f t="shared" si="1"/>
        <x:v>12243745</x:v>
      </x:c>
      <x:c r="Q19" s="29">
        <x:v>1.0</x:v>
      </x:c>
      <x:c r="R19" s="31" t="s">
        <x:v>112</x:v>
      </x:c>
      <x:c r="S19" s="31" t="s">
        <x:v>57</x:v>
      </x:c>
      <x:c r="T19" s="24" t="s">
        <x:v>113</x:v>
      </x:c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14" t="s">
        <x:v>68</x:v>
      </x:c>
      <x:c r="B20" s="14" t="s">
        <x:v>69</x:v>
      </x:c>
      <x:c r="C20" s="14">
        <x:v>5.0</x:v>
      </x:c>
      <x:c r="D20" s="14">
        <x:v>2.0</x:v>
      </x:c>
      <x:c r="E20" s="14">
        <x:v>3.0</x:v>
      </x:c>
      <x:c r="F20" s="37"/>
      <x:c r="G20" s="51">
        <x:v>157867.0</x:v>
      </x:c>
      <x:c r="H20" s="14">
        <x:v>6.0</x:v>
      </x:c>
      <x:c r="I20" s="27">
        <x:v>467062.0</x:v>
      </x:c>
      <x:c r="J20" s="14">
        <x:v>4.0</x:v>
      </x:c>
      <x:c r="K20" s="17">
        <x:v>3.0</x:v>
      </x:c>
      <x:c r="L20" s="14"/>
      <x:c r="M20" s="19"/>
      <x:c r="N20" s="49">
        <x:v>6310224.0</x:v>
      </x:c>
      <x:c r="O20" s="45">
        <x:v>6134108.0</x:v>
      </x:c>
      <x:c r="P20" s="45">
        <x:f t="shared" si="1"/>
        <x:v>12444332</x:v>
      </x:c>
      <x:c r="Q20" s="29">
        <x:v>1.0</x:v>
      </x:c>
      <x:c r="R20" s="30">
        <x:v>0.83</x:v>
      </x:c>
      <x:c r="S20" s="31" t="s">
        <x:v>25</x:v>
      </x:c>
      <x:c r="T20" s="24" t="s">
        <x:v>114</x:v>
      </x:c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31" t="s">
        <x:v>71</x:v>
      </x:c>
      <x:c r="B21" s="31" t="s">
        <x:v>72</x:v>
      </x:c>
      <x:c r="C21" s="31">
        <x:v>9.0</x:v>
      </x:c>
      <x:c r="D21" s="31">
        <x:v>0.0</x:v>
      </x:c>
      <x:c r="E21" s="31">
        <x:v>9.0</x:v>
      </x:c>
      <x:c r="F21" s="17"/>
      <x:c r="G21" s="48" t="s">
        <x:v>115</x:v>
      </x:c>
      <x:c r="H21" s="52">
        <x:v>11.0</x:v>
      </x:c>
      <x:c r="I21" s="53">
        <x:v>698202.0</x:v>
      </x:c>
      <x:c r="J21" s="31">
        <x:v>3.0</x:v>
      </x:c>
      <x:c r="K21" s="17">
        <x:v>3.0</x:v>
      </x:c>
      <x:c r="L21" s="31"/>
      <x:c r="M21" s="19"/>
      <x:c r="N21" s="49">
        <x:v>3540588.0</x:v>
      </x:c>
      <x:c r="O21" s="54">
        <x:v>1.1064441E7</x:v>
      </x:c>
      <x:c r="P21" s="54">
        <x:f t="shared" si="1"/>
        <x:v>14605029</x:v>
      </x:c>
      <x:c r="Q21" s="30">
        <x:v>1.0</x:v>
      </x:c>
      <x:c r="R21" s="30">
        <x:v>0.8</x:v>
      </x:c>
      <x:c r="S21" s="31" t="s">
        <x:v>57</x:v>
      </x:c>
      <x:c r="T21" s="24" t="s">
        <x:v>116</x:v>
      </x:c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  <x:c r="AC466" s="4"/>
      <x:c r="AD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  <x:c r="AC508" s="4"/>
      <x:c r="AD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  <x:c r="AC509" s="4"/>
      <x:c r="AD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  <x:c r="AC510" s="4"/>
      <x:c r="AD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  <x:c r="AC511" s="4"/>
      <x:c r="AD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  <x:c r="AC512" s="4"/>
      <x:c r="AD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  <x:c r="AC513" s="4"/>
      <x:c r="AD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  <x:c r="AC514" s="4"/>
      <x:c r="AD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  <x:c r="AC515" s="4"/>
      <x:c r="AD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  <x:c r="AC516" s="4"/>
      <x:c r="AD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  <x:c r="AC517" s="4"/>
      <x:c r="AD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  <x:c r="AC518" s="4"/>
      <x:c r="AD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  <x:c r="AC519" s="4"/>
      <x:c r="AD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  <x:c r="AC520" s="4"/>
      <x:c r="AD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  <x:c r="AC521" s="4"/>
      <x:c r="AD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  <x:c r="AC522" s="4"/>
      <x:c r="AD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  <x:c r="AC523" s="4"/>
      <x:c r="AD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  <x:c r="AC524" s="4"/>
      <x:c r="AD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  <x:c r="AB525" s="4"/>
      <x:c r="AC525" s="4"/>
      <x:c r="AD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  <x:c r="AB526" s="4"/>
      <x:c r="AC526" s="4"/>
      <x:c r="AD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  <x:c r="AC527" s="4"/>
      <x:c r="AD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  <x:c r="AC528" s="4"/>
      <x:c r="AD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  <x:c r="AC529" s="4"/>
      <x:c r="AD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  <x:c r="AC530" s="4"/>
      <x:c r="AD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  <x:c r="AC531" s="4"/>
      <x:c r="AD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  <x:c r="AC532" s="4"/>
      <x:c r="AD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  <x:c r="AC533" s="4"/>
      <x:c r="AD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  <x:c r="AC534" s="4"/>
      <x:c r="AD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  <x:c r="AC535" s="4"/>
      <x:c r="AD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  <x:c r="AC536" s="4"/>
      <x:c r="AD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  <x:c r="AC537" s="4"/>
      <x:c r="AD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  <x:c r="AC538" s="4"/>
      <x:c r="AD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  <x:c r="AC539" s="4"/>
      <x:c r="AD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  <x:c r="AC540" s="4"/>
      <x:c r="AD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  <x:c r="AC541" s="4"/>
      <x:c r="AD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  <x:c r="AC542" s="4"/>
      <x:c r="AD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  <x:c r="AC543" s="4"/>
      <x:c r="AD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  <x:c r="AC597" s="4"/>
      <x:c r="AD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  <x:c r="AC598" s="4"/>
      <x:c r="AD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  <x:c r="AC599" s="4"/>
      <x:c r="AD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  <x:c r="AC600" s="4"/>
      <x:c r="AD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  <x:c r="AC601" s="4"/>
      <x:c r="AD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  <x:c r="AC602" s="4"/>
      <x:c r="AD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  <x:c r="AC603" s="4"/>
      <x:c r="AD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  <x:c r="AC604" s="4"/>
      <x:c r="AD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  <x:c r="AC605" s="4"/>
      <x:c r="AD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  <x:c r="AC606" s="4"/>
      <x:c r="AD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  <x:c r="AC607" s="4"/>
      <x:c r="AD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  <x:c r="AC608" s="4"/>
      <x:c r="AD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  <x:c r="AC609" s="4"/>
      <x:c r="AD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  <x:c r="AC610" s="4"/>
      <x:c r="AD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  <x:c r="AC611" s="4"/>
      <x:c r="AD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  <x:c r="AC612" s="4"/>
      <x:c r="AD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  <x:c r="AC613" s="4"/>
      <x:c r="AD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  <x:c r="AB614" s="4"/>
      <x:c r="AC614" s="4"/>
      <x:c r="AD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  <x:c r="AB615" s="4"/>
      <x:c r="AC615" s="4"/>
      <x:c r="AD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  <x:c r="AC616" s="4"/>
      <x:c r="AD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  <x:c r="AC617" s="4"/>
      <x:c r="AD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  <x:c r="AC618" s="4"/>
      <x:c r="AD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  <x:c r="AC619" s="4"/>
      <x:c r="AD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  <x:c r="AC620" s="4"/>
      <x:c r="AD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  <x:c r="AC621" s="4"/>
      <x:c r="AD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  <x:c r="AC622" s="4"/>
      <x:c r="AD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  <x:c r="AC623" s="4"/>
      <x:c r="AD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  <x:c r="AC624" s="4"/>
      <x:c r="AD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  <x:c r="AC625" s="4"/>
      <x:c r="AD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  <x:c r="AC626" s="4"/>
      <x:c r="AD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  <x:c r="AC627" s="4"/>
      <x:c r="AD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  <x:c r="AC628" s="4"/>
      <x:c r="AD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  <x:c r="AC629" s="4"/>
      <x:c r="AD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  <x:c r="AC630" s="4"/>
      <x:c r="AD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  <x:c r="AC631" s="4"/>
      <x:c r="AD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  <x:c r="AC632" s="4"/>
      <x:c r="AD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  <x:c r="AC720" s="4"/>
      <x:c r="AD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  <x:c r="AC721" s="4"/>
      <x:c r="AD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  <x:c r="AC722" s="4"/>
      <x:c r="AD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  <x:c r="AC723" s="4"/>
      <x:c r="AD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  <x:c r="AC724" s="4"/>
      <x:c r="AD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  <x:c r="AC725" s="4"/>
      <x:c r="AD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  <x:c r="AC726" s="4"/>
      <x:c r="AD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  <x:c r="AC727" s="4"/>
      <x:c r="AD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  <x:c r="AC728" s="4"/>
      <x:c r="AD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  <x:c r="AC729" s="4"/>
      <x:c r="AD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  <x:c r="AC730" s="4"/>
      <x:c r="AD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  <x:c r="AC731" s="4"/>
      <x:c r="AD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  <x:c r="AC732" s="4"/>
      <x:c r="AD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  <x:c r="AC733" s="4"/>
      <x:c r="AD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  <x:c r="AC734" s="4"/>
      <x:c r="AD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  <x:c r="AC735" s="4"/>
      <x:c r="AD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  <x:c r="AC736" s="4"/>
      <x:c r="AD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  <x:c r="AB737" s="4"/>
      <x:c r="AC737" s="4"/>
      <x:c r="AD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  <x:c r="AB738" s="4"/>
      <x:c r="AC738" s="4"/>
      <x:c r="AD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  <x:c r="AB739" s="4"/>
      <x:c r="AC739" s="4"/>
      <x:c r="AD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  <x:c r="AB740" s="4"/>
      <x:c r="AC740" s="4"/>
      <x:c r="AD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  <x:c r="AB741" s="4"/>
      <x:c r="AC741" s="4"/>
      <x:c r="AD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  <x:c r="AB742" s="4"/>
      <x:c r="AC742" s="4"/>
      <x:c r="AD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  <x:c r="AB743" s="4"/>
      <x:c r="AC743" s="4"/>
      <x:c r="AD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  <x:c r="AB744" s="4"/>
      <x:c r="AC744" s="4"/>
      <x:c r="AD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  <x:c r="AC745" s="4"/>
      <x:c r="AD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  <x:c r="AC746" s="4"/>
      <x:c r="AD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  <x:c r="AC747" s="4"/>
      <x:c r="AD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  <x:c r="AC748" s="4"/>
      <x:c r="AD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  <x:c r="AC749" s="4"/>
      <x:c r="AD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  <x:c r="AC750" s="4"/>
      <x:c r="AD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  <x:c r="AC751" s="4"/>
      <x:c r="AD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  <x:c r="AC752" s="4"/>
      <x:c r="AD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  <x:c r="AC753" s="4"/>
      <x:c r="AD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  <x:c r="AC754" s="4"/>
      <x:c r="AD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  <x:c r="AC755" s="4"/>
      <x:c r="AD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  <x:c r="AC756" s="4"/>
      <x:c r="AD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  <x:c r="AC757" s="4"/>
      <x:c r="AD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  <x:c r="AC758" s="4"/>
      <x:c r="AD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  <x:c r="AC759" s="4"/>
      <x:c r="AD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  <x:c r="AC760" s="4"/>
      <x:c r="AD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  <x:c r="AC761" s="4"/>
      <x:c r="AD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  <x:c r="AC838" s="4"/>
      <x:c r="AD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  <x:c r="AC839" s="4"/>
      <x:c r="AD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  <x:c r="AC840" s="4"/>
      <x:c r="AD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  <x:c r="AC852" s="4"/>
      <x:c r="AD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  <x:c r="AC853" s="4"/>
      <x:c r="AD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  <x:c r="AC854" s="4"/>
      <x:c r="AD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  <x:c r="AC855" s="4"/>
      <x:c r="AD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  <x:c r="AC856" s="4"/>
      <x:c r="AD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  <x:c r="AC857" s="4"/>
      <x:c r="AD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  <x:c r="AC858" s="4"/>
      <x:c r="AD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  <x:c r="AC859" s="4"/>
      <x:c r="AD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  <x:c r="AC860" s="4"/>
      <x:c r="AD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  <x:c r="AC861" s="4"/>
      <x:c r="AD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  <x:c r="AC862" s="4"/>
      <x:c r="AD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  <x:c r="AC864" s="4"/>
      <x:c r="AD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  <x:c r="AC865" s="4"/>
      <x:c r="AD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  <x:c r="AC866" s="4"/>
      <x:c r="AD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  <x:c r="AC867" s="4"/>
      <x:c r="AD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  <x:c r="AC868" s="4"/>
      <x:c r="AD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  <x:c r="AC869" s="4"/>
      <x:c r="AD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  <x:c r="AC870" s="4"/>
      <x:c r="AD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  <x:c r="AC871" s="4"/>
      <x:c r="AD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  <x:c r="AC872" s="4"/>
      <x:c r="AD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  <x:c r="AC873" s="4"/>
      <x:c r="AD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  <x:c r="AC874" s="4"/>
      <x:c r="AD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  <x:c r="AC875" s="4"/>
      <x:c r="AD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  <x:c r="AC876" s="4"/>
      <x:c r="AD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  <x:c r="AC877" s="4"/>
      <x:c r="AD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  <x:c r="AC878" s="4"/>
      <x:c r="AD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  <x:c r="AC879" s="4"/>
      <x:c r="AD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  <x:c r="AC880" s="4"/>
      <x:c r="AD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  <x:c r="AC881" s="4"/>
      <x:c r="AD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  <x:c r="AC916" s="4"/>
      <x:c r="AD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  <x:c r="AC917" s="4"/>
      <x:c r="AD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  <x:c r="AC918" s="4"/>
      <x:c r="AD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  <x:c r="AC930" s="4"/>
      <x:c r="AD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  <x:c r="AC931" s="4"/>
      <x:c r="AD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  <x:c r="AC932" s="4"/>
      <x:c r="AD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  <x:c r="AC933" s="4"/>
      <x:c r="AD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  <x:c r="AC934" s="4"/>
      <x:c r="AD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  <x:c r="AC935" s="4"/>
      <x:c r="AD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  <x:c r="AC936" s="4"/>
      <x:c r="AD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  <x:c r="AC937" s="4"/>
      <x:c r="AD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  <x:c r="AC938" s="4"/>
      <x:c r="AD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  <x:c r="AC939" s="4"/>
      <x:c r="AD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  <x:c r="AC940" s="4"/>
      <x:c r="AD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  <x:c r="AC942" s="4"/>
      <x:c r="AD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  <x:c r="AC943" s="4"/>
      <x:c r="AD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  <x:c r="AC944" s="4"/>
      <x:c r="AD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  <x:c r="AC945" s="4"/>
      <x:c r="AD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  <x:c r="AC946" s="4"/>
      <x:c r="AD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  <x:c r="AC947" s="4"/>
      <x:c r="AD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  <x:c r="AC948" s="4"/>
      <x:c r="AD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  <x:c r="AC949" s="4"/>
      <x:c r="AD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  <x:c r="AC950" s="4"/>
      <x:c r="AD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  <x:c r="AC951" s="4"/>
      <x:c r="AD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  <x:c r="AC952" s="4"/>
      <x:c r="AD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  <x:c r="AC953" s="4"/>
      <x:c r="AD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  <x:c r="AC954" s="4"/>
      <x:c r="AD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  <x:c r="AC955" s="4"/>
      <x:c r="AD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  <x:c r="AC956" s="4"/>
      <x:c r="AD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  <x:c r="AC957" s="4"/>
      <x:c r="AD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  <x:c r="AB958" s="4"/>
      <x:c r="AC958" s="4"/>
      <x:c r="AD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  <x:c r="AB959" s="4"/>
      <x:c r="AC959" s="4"/>
      <x:c r="AD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  <x:c r="AC960" s="4"/>
      <x:c r="AD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  <x:c r="AC961" s="4"/>
      <x:c r="AD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  <x:c r="AC962" s="4"/>
      <x:c r="AD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  <x:c r="AC963" s="4"/>
      <x:c r="AD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  <x:c r="AC964" s="4"/>
      <x:c r="AD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  <x:c r="AC965" s="4"/>
      <x:c r="AD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  <x:c r="AC966" s="4"/>
      <x:c r="AD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  <x:c r="AC967" s="4"/>
      <x:c r="AD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  <x:c r="AC968" s="4"/>
      <x:c r="AD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  <x:c r="AC969" s="4"/>
      <x:c r="AD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  <x:c r="AC970" s="4"/>
      <x:c r="AD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  <x:c r="AC971" s="4"/>
      <x:c r="AD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  <x:c r="AC972" s="4"/>
      <x:c r="AD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  <x:c r="AC973" s="4"/>
      <x:c r="AD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  <x:c r="AC974" s="4"/>
      <x:c r="AD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  <x:c r="AC975" s="4"/>
      <x:c r="AD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  <x:c r="AC976" s="4"/>
      <x:c r="AD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  <x:c r="AC977" s="4"/>
      <x:c r="AD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  <x:c r="AC978" s="4"/>
      <x:c r="AD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  <x:c r="AC979" s="4"/>
      <x:c r="AD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  <x:c r="AC980" s="4"/>
      <x:c r="AD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  <x:c r="AC981" s="4"/>
      <x:c r="AD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  <x:c r="AC982" s="4"/>
      <x:c r="AD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  <x:c r="AC983" s="4"/>
      <x:c r="AD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  <x:c r="AC984" s="4"/>
      <x:c r="AD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  <x:c r="AC985" s="4"/>
      <x:c r="AD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  <x:c r="AC986" s="4"/>
      <x:c r="AD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  <x:c r="AC987" s="4"/>
      <x:c r="AD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  <x:c r="AC988" s="4"/>
      <x:c r="AD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  <x:c r="AC989" s="4"/>
      <x:c r="AD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  <x:c r="AC990" s="4"/>
      <x:c r="AD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  <x:c r="AC991" s="4"/>
      <x:c r="AD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  <x:c r="AC992" s="4"/>
      <x:c r="AD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  <x:c r="AC993" s="4"/>
      <x:c r="AD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  <x:c r="AC994" s="4"/>
      <x:c r="AD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  <x:c r="AC995" s="4"/>
      <x:c r="AD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  <x:c r="AC996" s="4"/>
      <x:c r="AD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  <x:c r="AC997" s="4"/>
      <x:c r="AD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  <x:c r="AC998" s="4"/>
      <x:c r="AD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  <x:c r="AB999" s="4"/>
      <x:c r="AC999" s="4"/>
      <x:c r="AD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  <x:c r="AB1000" s="4"/>
      <x:c r="AC1000" s="4"/>
      <x:c r="AD1000" s="4"/>
    </x:row>
    <x:row r="1001">
      <x:c r="A1001" s="4"/>
      <x:c r="B1001" s="4"/>
      <x:c r="C1001" s="4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  <x:c r="Z1001" s="4"/>
      <x:c r="AA1001" s="4"/>
      <x:c r="AB1001" s="4"/>
      <x:c r="AC1001" s="4"/>
      <x:c r="AD1001" s="4"/>
    </x:row>
    <x:row r="1002">
      <x:c r="A1002" s="4"/>
      <x:c r="B1002" s="4"/>
      <x:c r="C1002" s="4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  <x:c r="Z1002" s="4"/>
      <x:c r="AA1002" s="4"/>
      <x:c r="AB1002" s="4"/>
      <x:c r="AC1002" s="4"/>
      <x:c r="AD1002" s="4"/>
    </x:row>
    <x:row r="1003">
      <x:c r="A1003" s="4"/>
      <x:c r="B1003" s="4"/>
      <x:c r="C1003" s="4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  <x:c r="Z1003" s="4"/>
      <x:c r="AA1003" s="4"/>
      <x:c r="AB1003" s="4"/>
      <x:c r="AC1003" s="4"/>
      <x:c r="AD1003" s="4"/>
    </x:row>
    <x:row r="1004">
      <x:c r="A1004" s="4"/>
      <x:c r="B1004" s="4"/>
      <x:c r="C1004" s="4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  <x:c r="Z1004" s="4"/>
      <x:c r="AA1004" s="4"/>
      <x:c r="AB1004" s="4"/>
      <x:c r="AC1004" s="4"/>
      <x:c r="AD1004" s="4"/>
    </x:row>
    <x:row r="1005">
      <x:c r="A1005" s="4"/>
      <x:c r="B1005" s="4"/>
      <x:c r="C1005" s="4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  <x:c r="Z1005" s="4"/>
      <x:c r="AA1005" s="4"/>
      <x:c r="AB1005" s="4"/>
      <x:c r="AC1005" s="4"/>
      <x:c r="AD1005" s="4"/>
    </x:row>
    <x:row r="1006">
      <x:c r="A1006" s="4"/>
      <x:c r="B1006" s="4"/>
      <x:c r="C1006" s="4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  <x:c r="Z1006" s="4"/>
      <x:c r="AA1006" s="4"/>
      <x:c r="AB1006" s="4"/>
      <x:c r="AC1006" s="4"/>
      <x:c r="AD1006" s="4"/>
    </x:row>
    <x:row r="1007">
      <x:c r="A1007" s="4"/>
      <x:c r="B1007" s="4"/>
      <x:c r="C1007" s="4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  <x:c r="Z1007" s="4"/>
      <x:c r="AA1007" s="4"/>
      <x:c r="AB1007" s="4"/>
      <x:c r="AC1007" s="4"/>
      <x:c r="AD1007" s="4"/>
    </x:row>
    <x:row r="1008">
      <x:c r="A1008" s="4"/>
      <x:c r="B1008" s="4"/>
      <x:c r="C1008" s="4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  <x:c r="Z1008" s="4"/>
      <x:c r="AA1008" s="4"/>
      <x:c r="AB1008" s="4"/>
      <x:c r="AC1008" s="4"/>
      <x:c r="AD1008" s="4"/>
    </x:row>
    <x:row r="1009">
      <x:c r="A1009" s="4"/>
      <x:c r="B1009" s="4"/>
      <x:c r="C1009" s="4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  <x:c r="Z1009" s="4"/>
      <x:c r="AA1009" s="4"/>
      <x:c r="AB1009" s="4"/>
      <x:c r="AC1009" s="4"/>
      <x:c r="AD1009" s="4"/>
    </x:row>
    <x:row r="1010">
      <x:c r="A1010" s="4"/>
      <x:c r="B1010" s="4"/>
      <x:c r="C1010" s="4"/>
      <x:c r="D1010" s="4"/>
      <x:c r="E1010" s="4"/>
      <x:c r="F1010" s="4"/>
      <x:c r="G1010" s="4"/>
      <x:c r="H1010" s="4"/>
      <x:c r="I1010" s="4"/>
      <x:c r="J1010" s="4"/>
      <x:c r="K1010" s="4"/>
      <x:c r="L1010" s="4"/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4"/>
      <x:c r="W1010" s="4"/>
      <x:c r="X1010" s="4"/>
      <x:c r="Y1010" s="4"/>
      <x:c r="Z1010" s="4"/>
      <x:c r="AA1010" s="4"/>
      <x:c r="AB1010" s="4"/>
      <x:c r="AC1010" s="4"/>
      <x:c r="AD1010" s="4"/>
    </x:row>
    <x:row r="1011">
      <x:c r="A1011" s="4"/>
      <x:c r="B1011" s="4"/>
      <x:c r="C1011" s="4"/>
      <x:c r="D1011" s="4"/>
      <x:c r="E1011" s="4"/>
      <x:c r="F1011" s="4"/>
      <x:c r="G1011" s="4"/>
      <x:c r="H1011" s="4"/>
      <x:c r="I1011" s="4"/>
      <x:c r="J1011" s="4"/>
      <x:c r="K1011" s="4"/>
      <x:c r="L1011" s="4"/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4"/>
      <x:c r="W1011" s="4"/>
      <x:c r="X1011" s="4"/>
      <x:c r="Y1011" s="4"/>
      <x:c r="Z1011" s="4"/>
      <x:c r="AA1011" s="4"/>
      <x:c r="AB1011" s="4"/>
      <x:c r="AC1011" s="4"/>
      <x:c r="AD1011" s="4"/>
    </x:row>
  </x:sheetData>
  <x:mergeCells>
    <x:mergeCell ref="F3:F4"/>
    <x:mergeCell ref="G3:G4"/>
    <x:mergeCell ref="H3:H4"/>
    <x:mergeCell ref="I3:I4"/>
    <x:mergeCell ref="J3:L3"/>
    <x:mergeCell ref="M3:M4"/>
    <x:mergeCell ref="N3:N4"/>
    <x:mergeCell ref="O3:O4"/>
    <x:mergeCell ref="P3:P4"/>
    <x:mergeCell ref="Q3:Q4"/>
    <x:mergeCell ref="R3:R4"/>
    <x:mergeCell ref="S3:S4"/>
    <x:mergeCell ref="A1:T1"/>
    <x:mergeCell ref="A2:T2"/>
    <x:mergeCell ref="A3:A4"/>
    <x:mergeCell ref="B3:B4"/>
    <x:mergeCell ref="C3:C4"/>
    <x:mergeCell ref="D3:D4"/>
    <x:mergeCell ref="E3:E4"/>
  </x:mergeCells>
  <x:hyperlinks>
    <x:hyperlink xmlns:r="http://schemas.openxmlformats.org/officeDocument/2006/relationships" ref="A2" r:id="R2651d636779f4b2f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3"/>
    </x:row>
    <x:row r="2" ht="269.25" customHeight="1">
      <x:c r="A2" s="5" t="s">
        <x:v>89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3"/>
    </x:row>
    <x:row r="5" ht="1.5" customHeight="1"/>
    <x:row r="6">
      <x:c r="A6" s="6" t="s">
        <x:v>2</x:v>
      </x:c>
      <x:c r="B6" s="6" t="s">
        <x:v>3</x:v>
      </x:c>
      <x:c r="C6" s="6" t="s">
        <x:v>4</x:v>
      </x:c>
      <x:c r="D6" s="55" t="s">
        <x:v>117</x:v>
      </x:c>
      <x:c r="E6" s="56"/>
      <x:c r="F6" s="56"/>
      <x:c r="G6" s="56"/>
      <x:c r="H6" s="56"/>
      <x:c r="I6" s="56"/>
      <x:c r="J6" s="56"/>
      <x:c r="K6" s="57"/>
      <x:c r="L6" s="58" t="s">
        <x:v>118</x:v>
      </x:c>
      <x:c r="M6" s="56"/>
      <x:c r="N6" s="56"/>
      <x:c r="O6" s="56"/>
      <x:c r="P6" s="56"/>
      <x:c r="Q6" s="56"/>
      <x:c r="R6" s="56"/>
      <x:c r="S6" s="57"/>
      <x:c r="T6" s="55" t="s">
        <x:v>119</x:v>
      </x:c>
      <x:c r="U6" s="56"/>
      <x:c r="V6" s="56"/>
      <x:c r="W6" s="56"/>
      <x:c r="X6" s="56"/>
      <x:c r="Y6" s="56"/>
      <x:c r="Z6" s="56"/>
      <x:c r="AA6" s="57"/>
      <x:c r="AB6" s="59" t="s">
        <x:v>120</x:v>
      </x:c>
      <x:c r="AC6" s="56"/>
      <x:c r="AD6" s="56"/>
      <x:c r="AE6" s="56"/>
      <x:c r="AF6" s="56"/>
      <x:c r="AG6" s="56"/>
      <x:c r="AH6" s="56"/>
      <x:c r="AI6" s="57"/>
      <x:c r="AJ6" s="60" t="s">
        <x:v>121</x:v>
      </x:c>
      <x:c r="AK6" s="57"/>
      <x:c r="AL6" s="61" t="s">
        <x:v>11</x:v>
      </x:c>
      <x:c r="AM6" s="2"/>
      <x:c r="AN6" s="3"/>
      <x:c r="AO6" s="62" t="s">
        <x:v>122</x:v>
      </x:c>
      <x:c r="AP6" s="2"/>
      <x:c r="AQ6" s="3"/>
      <x:c r="AR6" s="59" t="s">
        <x:v>123</x:v>
      </x:c>
      <x:c r="AS6" s="56"/>
      <x:c r="AT6" s="57"/>
      <x:c r="AU6" s="63" t="s">
        <x:v>124</x:v>
      </x:c>
      <x:c r="AV6" s="10" t="s">
        <x:v>18</x:v>
      </x:c>
      <x:c r="AW6" s="63" t="s">
        <x:v>19</x:v>
      </x:c>
    </x:row>
    <x:row r="7" ht="51" customHeight="1">
      <x:c r="A7" s="12"/>
      <x:c r="B7" s="12"/>
      <x:c r="C7" s="12"/>
      <x:c r="D7" s="64" t="s">
        <x:v>125</x:v>
      </x:c>
      <x:c r="E7" s="64" t="s">
        <x:v>126</x:v>
      </x:c>
      <x:c r="F7" s="64" t="s">
        <x:v>127</x:v>
      </x:c>
      <x:c r="G7" s="64" t="s">
        <x:v>128</x:v>
      </x:c>
      <x:c r="H7" s="64" t="s">
        <x:v>129</x:v>
      </x:c>
      <x:c r="I7" s="64" t="s">
        <x:v>130</x:v>
      </x:c>
      <x:c r="J7" s="64" t="s">
        <x:v>131</x:v>
      </x:c>
      <x:c r="K7" s="64" t="s">
        <x:v>132</x:v>
      </x:c>
      <x:c r="L7" s="65" t="s">
        <x:v>125</x:v>
      </x:c>
      <x:c r="M7" s="65" t="s">
        <x:v>126</x:v>
      </x:c>
      <x:c r="N7" s="65" t="s">
        <x:v>127</x:v>
      </x:c>
      <x:c r="O7" s="65" t="s">
        <x:v>128</x:v>
      </x:c>
      <x:c r="P7" s="65" t="s">
        <x:v>129</x:v>
      </x:c>
      <x:c r="Q7" s="65" t="s">
        <x:v>130</x:v>
      </x:c>
      <x:c r="R7" s="65" t="s">
        <x:v>131</x:v>
      </x:c>
      <x:c r="S7" s="65" t="s">
        <x:v>132</x:v>
      </x:c>
      <x:c r="T7" s="64" t="s">
        <x:v>125</x:v>
      </x:c>
      <x:c r="U7" s="64" t="s">
        <x:v>126</x:v>
      </x:c>
      <x:c r="V7" s="64" t="s">
        <x:v>127</x:v>
      </x:c>
      <x:c r="W7" s="64" t="s">
        <x:v>128</x:v>
      </x:c>
      <x:c r="X7" s="64" t="s">
        <x:v>129</x:v>
      </x:c>
      <x:c r="Y7" s="64" t="s">
        <x:v>130</x:v>
      </x:c>
      <x:c r="Z7" s="64" t="s">
        <x:v>131</x:v>
      </x:c>
      <x:c r="AA7" s="64" t="s">
        <x:v>132</x:v>
      </x:c>
      <x:c r="AB7" s="65" t="s">
        <x:v>125</x:v>
      </x:c>
      <x:c r="AC7" s="65" t="s">
        <x:v>126</x:v>
      </x:c>
      <x:c r="AD7" s="65" t="s">
        <x:v>127</x:v>
      </x:c>
      <x:c r="AE7" s="65" t="s">
        <x:v>128</x:v>
      </x:c>
      <x:c r="AF7" s="65" t="s">
        <x:v>129</x:v>
      </x:c>
      <x:c r="AG7" s="65" t="s">
        <x:v>130</x:v>
      </x:c>
      <x:c r="AH7" s="65" t="s">
        <x:v>131</x:v>
      </x:c>
      <x:c r="AI7" s="65" t="s">
        <x:v>132</x:v>
      </x:c>
      <x:c r="AJ7" s="66" t="s">
        <x:v>128</x:v>
      </x:c>
      <x:c r="AK7" s="64" t="s">
        <x:v>130</x:v>
      </x:c>
      <x:c r="AL7" s="67" t="s">
        <x:v>20</x:v>
      </x:c>
      <x:c r="AM7" s="67" t="s">
        <x:v>21</x:v>
      </x:c>
      <x:c r="AN7" s="67" t="s">
        <x:v>22</x:v>
      </x:c>
      <x:c r="AO7" s="64" t="s">
        <x:v>133</x:v>
      </x:c>
      <x:c r="AP7" s="64" t="s">
        <x:v>134</x:v>
      </x:c>
      <x:c r="AQ7" s="64" t="s">
        <x:v>135</x:v>
      </x:c>
      <x:c r="AR7" s="63" t="s">
        <x:v>133</x:v>
      </x:c>
      <x:c r="AS7" s="63" t="s">
        <x:v>134</x:v>
      </x:c>
      <x:c r="AT7" s="63" t="s">
        <x:v>135</x:v>
      </x:c>
      <x:c r="AU7" s="12"/>
      <x:c r="AV7" s="12"/>
      <x:c r="AW7" s="12"/>
    </x:row>
    <x:row r="8">
      <x:c r="A8" s="14" t="s">
        <x:v>23</x:v>
      </x:c>
      <x:c r="B8" s="15" t="s">
        <x:v>24</x:v>
      </x:c>
      <x:c r="C8" s="14" t="n">
        <x:v>7</x:v>
      </x:c>
      <x:c r="D8" s="17" t="n">
        <x:v>1138176</x:v>
      </x:c>
      <x:c r="E8" s="17" t="n">
        <x:v>1203897</x:v>
      </x:c>
      <x:c r="F8" s="17" t="n">
        <x:v>9501</x:v>
      </x:c>
      <x:c r="G8" s="17" t="n">
        <x:v>1213398</x:v>
      </x:c>
      <x:c r="H8" s="17" t="n">
        <x:v>80.847</x:v>
      </x:c>
      <x:c r="I8" s="17" t="n">
        <x:v>499.931</x:v>
      </x:c>
      <x:c r="J8" s="17" t="n">
        <x:v>1</x:v>
      </x:c>
      <x:c r="K8" s="17" t="n">
        <x:v>21</x:v>
      </x:c>
      <x:c r="L8" s="14" t="n">
        <x:v>2347520</x:v>
      </x:c>
      <x:c r="M8" s="14" t="n">
        <x:v>2399909</x:v>
      </x:c>
      <x:c r="N8" s="14" t="n">
        <x:v>16294</x:v>
      </x:c>
      <x:c r="O8" s="14" t="n">
        <x:v>2416203</x:v>
      </x:c>
      <x:c r="P8" s="17" t="n">
        <x:v>168.651</x:v>
      </x:c>
      <x:c r="Q8" s="68" t="n">
        <x:v>470.944</x:v>
      </x:c>
      <x:c r="R8" s="14" t="n">
        <x:v>1</x:v>
      </x:c>
      <x:c r="S8" s="14" t="n">
        <x:v>21</x:v>
      </x:c>
      <x:c r="T8" s="19" t="n">
        <x:v>0</x:v>
      </x:c>
      <x:c r="U8" s="19" t="n">
        <x:v>0</x:v>
      </x:c>
      <x:c r="V8" s="27" t="n">
        <x:v>0</x:v>
      </x:c>
      <x:c r="W8" s="36" t="n">
        <x:v>0</x:v>
      </x:c>
      <x:c r="X8" s="17" t="n">
        <x:v>0</x:v>
      </x:c>
      <x:c r="Y8" s="27" t="n">
        <x:v>0</x:v>
      </x:c>
      <x:c r="Z8" s="69" t="n">
        <x:v>0</x:v>
      </x:c>
      <x:c r="AA8" s="70" t="n">
        <x:v>0</x:v>
      </x:c>
      <x:c r="AB8" s="24" t="n">
        <x:v>3485696</x:v>
      </x:c>
      <x:c r="AC8" s="24" t="n">
        <x:v>3603806</x:v>
      </x:c>
      <x:c r="AD8" s="24" t="n">
        <x:v>25795</x:v>
      </x:c>
      <x:c r="AE8" s="24" t="n">
        <x:v>3629601</x:v>
      </x:c>
      <x:c r="AF8" s="24" t="n">
        <x:v>249.498</x:v>
      </x:c>
      <x:c r="AG8" s="24" t="n">
        <x:v>970.875</x:v>
      </x:c>
      <x:c r="AH8" s="24" t="n">
        <x:v>2</x:v>
      </x:c>
      <x:c r="AI8" s="24" t="n">
        <x:v>42</x:v>
      </x:c>
      <x:c r="AJ8" s="24" t="n">
        <x:v>3629601</x:v>
      </x:c>
      <x:c r="AK8" s="24" t="n">
        <x:v>970.875</x:v>
      </x:c>
      <x:c r="AL8" s="71">
        <x:v>46145.0</x:v>
      </x:c>
      <x:c r="AM8" s="17">
        <x:v>4.0</x:v>
      </x:c>
      <x:c r="AN8" s="17">
        <x:v>4.0</x:v>
      </x:c>
      <x:c r="AO8" s="72" t="n">
        <x:v>7</x:v>
      </x:c>
      <x:c r="AP8" s="72" t="n">
        <x:v>0</x:v>
      </x:c>
      <x:c r="AQ8" s="72" t="n">
        <x:v>1</x:v>
      </x:c>
      <x:c r="AR8" s="72" t="n">
        <x:v>7</x:v>
      </x:c>
      <x:c r="AS8" s="72" t="n">
        <x:v>0</x:v>
      </x:c>
      <x:c r="AT8" s="73" t="n">
        <x:v>1</x:v>
      </x:c>
      <x:c r="AU8" s="73" t="str">
        <x:v>N/A</x:v>
      </x:c>
      <x:c r="AV8" s="24" t="s">
        <x:v>57</x:v>
      </x:c>
      <x:c r="AW8" s="24"/>
    </x:row>
    <x:row r="9">
      <x:c r="A9" s="14" t="s">
        <x:v>26</x:v>
      </x:c>
      <x:c r="B9" s="15" t="s">
        <x:v>27</x:v>
      </x:c>
      <x:c r="C9" s="14"/>
      <x:c r="D9" s="37"/>
      <x:c r="E9" s="37"/>
      <x:c r="F9" s="37"/>
      <x:c r="G9" s="37"/>
      <x:c r="H9" s="37"/>
      <x:c r="I9" s="37"/>
      <x:c r="J9" s="37"/>
      <x:c r="K9" s="37"/>
      <x:c r="L9" s="27"/>
      <x:c r="M9" s="27"/>
      <x:c r="N9" s="14"/>
      <x:c r="O9" s="14"/>
      <x:c r="P9" s="37"/>
      <x:c r="Q9" s="68"/>
      <x:c r="R9" s="14"/>
      <x:c r="S9" s="14"/>
      <x:c r="T9" s="19"/>
      <x:c r="U9" s="19"/>
      <x:c r="V9" s="27"/>
      <x:c r="W9" s="28"/>
      <x:c r="X9" s="37"/>
      <x:c r="Y9" s="27"/>
      <x:c r="Z9" s="69"/>
      <x:c r="AA9" s="70"/>
      <x:c r="AB9" s="24"/>
      <x:c r="AC9" s="24"/>
      <x:c r="AD9" s="24"/>
      <x:c r="AE9" s="24"/>
      <x:c r="AF9" s="24"/>
      <x:c r="AG9" s="24"/>
      <x:c r="AH9" s="24"/>
      <x:c r="AI9" s="24"/>
      <x:c r="AJ9" s="24"/>
      <x:c r="AK9" s="24"/>
      <x:c r="AL9" s="17">
        <x:v>3.0</x:v>
      </x:c>
      <x:c r="AM9" s="17">
        <x:v>4.0</x:v>
      </x:c>
      <x:c r="AN9" s="17">
        <x:v>5.0</x:v>
      </x:c>
      <x:c r="AO9" s="72"/>
      <x:c r="AP9" s="72"/>
      <x:c r="AQ9" s="72"/>
      <x:c r="AR9" s="72"/>
      <x:c r="AS9" s="72"/>
      <x:c r="AT9" s="73"/>
      <x:c r="AU9" s="73"/>
      <x:c r="AV9" s="24" t="s">
        <x:v>25</x:v>
      </x:c>
      <x:c r="AW9" s="24"/>
    </x:row>
    <x:row r="10">
      <x:c r="A10" s="14" t="s">
        <x:v>30</x:v>
      </x:c>
      <x:c r="B10" s="15" t="s">
        <x:v>31</x:v>
      </x:c>
      <x:c r="C10" s="14"/>
      <x:c r="D10" s="17"/>
      <x:c r="E10" s="17"/>
      <x:c r="F10" s="17"/>
      <x:c r="G10" s="17"/>
      <x:c r="H10" s="17"/>
      <x:c r="I10" s="17"/>
      <x:c r="J10" s="17"/>
      <x:c r="K10" s="17"/>
      <x:c r="L10" s="14"/>
      <x:c r="M10" s="14"/>
      <x:c r="N10" s="14"/>
      <x:c r="O10" s="14"/>
      <x:c r="P10" s="17"/>
      <x:c r="Q10" s="68"/>
      <x:c r="R10" s="14"/>
      <x:c r="S10" s="14"/>
      <x:c r="T10" s="19"/>
      <x:c r="U10" s="19"/>
      <x:c r="V10" s="27"/>
      <x:c r="W10" s="28"/>
      <x:c r="X10" s="17"/>
      <x:c r="Y10" s="27"/>
      <x:c r="Z10" s="69"/>
      <x:c r="AA10" s="70"/>
      <x:c r="AB10" s="24"/>
      <x:c r="AC10" s="24"/>
      <x:c r="AD10" s="24"/>
      <x:c r="AE10" s="24"/>
      <x:c r="AF10" s="24"/>
      <x:c r="AG10" s="24"/>
      <x:c r="AH10" s="24"/>
      <x:c r="AI10" s="24"/>
      <x:c r="AJ10" s="24"/>
      <x:c r="AK10" s="24"/>
      <x:c r="AL10" s="17">
        <x:v>3.0</x:v>
      </x:c>
      <x:c r="AM10" s="17">
        <x:v>4.0</x:v>
      </x:c>
      <x:c r="AN10" s="17">
        <x:v>4.0</x:v>
      </x:c>
      <x:c r="AO10" s="72"/>
      <x:c r="AP10" s="72"/>
      <x:c r="AQ10" s="72"/>
      <x:c r="AR10" s="72"/>
      <x:c r="AS10" s="72"/>
      <x:c r="AT10" s="73"/>
      <x:c r="AU10" s="73"/>
      <x:c r="AV10" s="24" t="s">
        <x:v>25</x:v>
      </x:c>
      <x:c r="AW10" s="24"/>
    </x:row>
    <x:row r="11">
      <x:c r="A11" s="14" t="s">
        <x:v>32</x:v>
      </x:c>
      <x:c r="B11" s="15" t="s">
        <x:v>33</x:v>
      </x:c>
      <x:c r="C11" s="14"/>
      <x:c r="D11" s="17"/>
      <x:c r="E11" s="17"/>
      <x:c r="F11" s="17"/>
      <x:c r="G11" s="17"/>
      <x:c r="H11" s="17"/>
      <x:c r="I11" s="17"/>
      <x:c r="J11" s="17"/>
      <x:c r="K11" s="17"/>
      <x:c r="L11" s="14"/>
      <x:c r="M11" s="14"/>
      <x:c r="N11" s="14"/>
      <x:c r="O11" s="14"/>
      <x:c r="P11" s="17"/>
      <x:c r="Q11" s="68"/>
      <x:c r="R11" s="14"/>
      <x:c r="S11" s="14"/>
      <x:c r="T11" s="19"/>
      <x:c r="U11" s="19"/>
      <x:c r="V11" s="27"/>
      <x:c r="W11" s="28"/>
      <x:c r="X11" s="17"/>
      <x:c r="Y11" s="27"/>
      <x:c r="Z11" s="69"/>
      <x:c r="AA11" s="70"/>
      <x:c r="AB11" s="24"/>
      <x:c r="AC11" s="24"/>
      <x:c r="AD11" s="24"/>
      <x:c r="AE11" s="24"/>
      <x:c r="AF11" s="24"/>
      <x:c r="AG11" s="24"/>
      <x:c r="AH11" s="24"/>
      <x:c r="AI11" s="24"/>
      <x:c r="AJ11" s="24"/>
      <x:c r="AK11" s="24"/>
      <x:c r="AL11" s="17">
        <x:v>3.0</x:v>
      </x:c>
      <x:c r="AM11" s="17">
        <x:v>6.0</x:v>
      </x:c>
      <x:c r="AN11" s="17">
        <x:v>6.0</x:v>
      </x:c>
      <x:c r="AO11" s="72"/>
      <x:c r="AP11" s="72"/>
      <x:c r="AQ11" s="72"/>
      <x:c r="AR11" s="72"/>
      <x:c r="AS11" s="72"/>
      <x:c r="AT11" s="73"/>
      <x:c r="AU11" s="73"/>
      <x:c r="AV11" s="24" t="s">
        <x:v>25</x:v>
      </x:c>
      <x:c r="AW11" s="24"/>
    </x:row>
    <x:row r="12">
      <x:c r="A12" s="14" t="s">
        <x:v>34</x:v>
      </x:c>
      <x:c r="B12" s="15" t="s">
        <x:v>35</x:v>
      </x:c>
      <x:c r="C12" s="14"/>
      <x:c r="D12" s="37"/>
      <x:c r="E12" s="37"/>
      <x:c r="F12" s="37"/>
      <x:c r="G12" s="37"/>
      <x:c r="H12" s="37"/>
      <x:c r="I12" s="37"/>
      <x:c r="J12" s="37"/>
      <x:c r="K12" s="37"/>
      <x:c r="L12" s="14"/>
      <x:c r="M12" s="38"/>
      <x:c r="N12" s="14"/>
      <x:c r="O12" s="14"/>
      <x:c r="P12" s="37"/>
      <x:c r="Q12" s="68"/>
      <x:c r="R12" s="14"/>
      <x:c r="S12" s="14"/>
      <x:c r="T12" s="39"/>
      <x:c r="U12" s="39"/>
      <x:c r="V12" s="40"/>
      <x:c r="W12" s="40"/>
      <x:c r="X12" s="37"/>
      <x:c r="Y12" s="40"/>
      <x:c r="Z12" s="74"/>
      <x:c r="AA12" s="74"/>
      <x:c r="AB12" s="24"/>
      <x:c r="AC12" s="24"/>
      <x:c r="AD12" s="24"/>
      <x:c r="AE12" s="24"/>
      <x:c r="AF12" s="24"/>
      <x:c r="AG12" s="24"/>
      <x:c r="AH12" s="24"/>
      <x:c r="AI12" s="24"/>
      <x:c r="AJ12" s="24"/>
      <x:c r="AK12" s="24"/>
      <x:c r="AL12" s="71">
        <x:v>46144.0</x:v>
      </x:c>
      <x:c r="AM12" s="17">
        <x:v>3.0</x:v>
      </x:c>
      <x:c r="AN12" s="17">
        <x:v>5.0</x:v>
      </x:c>
      <x:c r="AO12" s="72"/>
      <x:c r="AP12" s="72"/>
      <x:c r="AQ12" s="72"/>
      <x:c r="AR12" s="72"/>
      <x:c r="AS12" s="72"/>
      <x:c r="AT12" s="73"/>
      <x:c r="AU12" s="73"/>
      <x:c r="AV12" s="24" t="s">
        <x:v>25</x:v>
      </x:c>
      <x:c r="AW12" s="24"/>
    </x:row>
    <x:row r="13">
      <x:c r="A13" s="14" t="s">
        <x:v>37</x:v>
      </x:c>
      <x:c r="B13" s="15" t="s">
        <x:v>38</x:v>
      </x:c>
      <x:c r="C13" s="42"/>
      <x:c r="D13" s="37"/>
      <x:c r="E13" s="37"/>
      <x:c r="F13" s="37"/>
      <x:c r="G13" s="37"/>
      <x:c r="H13" s="37"/>
      <x:c r="I13" s="37"/>
      <x:c r="J13" s="37"/>
      <x:c r="K13" s="37"/>
      <x:c r="L13" s="27"/>
      <x:c r="M13" s="27"/>
      <x:c r="N13" s="14"/>
      <x:c r="O13" s="14"/>
      <x:c r="P13" s="37"/>
      <x:c r="Q13" s="68"/>
      <x:c r="R13" s="14"/>
      <x:c r="S13" s="14"/>
      <x:c r="T13" s="39"/>
      <x:c r="U13" s="39"/>
      <x:c r="V13" s="40"/>
      <x:c r="W13" s="40"/>
      <x:c r="X13" s="37"/>
      <x:c r="Y13" s="40"/>
      <x:c r="Z13" s="75"/>
      <x:c r="AA13" s="74"/>
      <x:c r="AB13" s="24"/>
      <x:c r="AC13" s="24"/>
      <x:c r="AD13" s="24"/>
      <x:c r="AE13" s="24"/>
      <x:c r="AF13" s="24"/>
      <x:c r="AG13" s="24"/>
      <x:c r="AH13" s="24"/>
      <x:c r="AI13" s="24"/>
      <x:c r="AJ13" s="24"/>
      <x:c r="AK13" s="24"/>
      <x:c r="AL13" s="17">
        <x:v>3.0</x:v>
      </x:c>
      <x:c r="AM13" s="17">
        <x:v>3.0</x:v>
      </x:c>
      <x:c r="AN13" s="17">
        <x:v>4.0</x:v>
      </x:c>
      <x:c r="AO13" s="76"/>
      <x:c r="AP13" s="76"/>
      <x:c r="AQ13" s="72"/>
      <x:c r="AR13" s="76"/>
      <x:c r="AS13" s="76"/>
      <x:c r="AT13" s="73"/>
      <x:c r="AU13" s="73"/>
      <x:c r="AV13" s="24" t="s">
        <x:v>25</x:v>
      </x:c>
      <x:c r="AW13" s="24"/>
    </x:row>
    <x:row r="14">
      <x:c r="A14" s="14" t="s">
        <x:v>40</x:v>
      </x:c>
      <x:c r="B14" s="15" t="s">
        <x:v>41</x:v>
      </x:c>
      <x:c r="C14" s="42"/>
      <x:c r="D14" s="37"/>
      <x:c r="E14" s="37"/>
      <x:c r="F14" s="37"/>
      <x:c r="G14" s="37"/>
      <x:c r="H14" s="37"/>
      <x:c r="I14" s="37"/>
      <x:c r="J14" s="37"/>
      <x:c r="K14" s="37"/>
      <x:c r="L14" s="27"/>
      <x:c r="M14" s="27"/>
      <x:c r="N14" s="14"/>
      <x:c r="O14" s="14"/>
      <x:c r="P14" s="37"/>
      <x:c r="Q14" s="68"/>
      <x:c r="R14" s="14"/>
      <x:c r="S14" s="42"/>
      <x:c r="T14" s="39"/>
      <x:c r="U14" s="39"/>
      <x:c r="V14" s="44"/>
      <x:c r="W14" s="44"/>
      <x:c r="X14" s="37"/>
      <x:c r="Y14" s="40"/>
      <x:c r="Z14" s="74"/>
      <x:c r="AA14" s="74"/>
      <x:c r="AB14" s="24"/>
      <x:c r="AC14" s="24"/>
      <x:c r="AD14" s="24"/>
      <x:c r="AE14" s="24"/>
      <x:c r="AF14" s="24"/>
      <x:c r="AG14" s="24"/>
      <x:c r="AH14" s="24"/>
      <x:c r="AI14" s="24"/>
      <x:c r="AJ14" s="24"/>
      <x:c r="AK14" s="24"/>
      <x:c r="AL14" s="71">
        <x:v>46144.0</x:v>
      </x:c>
      <x:c r="AM14" s="17">
        <x:v>3.0</x:v>
      </x:c>
      <x:c r="AN14" s="17">
        <x:v>3.0</x:v>
      </x:c>
      <x:c r="AO14" s="76"/>
      <x:c r="AP14" s="76"/>
      <x:c r="AQ14" s="72"/>
      <x:c r="AR14" s="76"/>
      <x:c r="AS14" s="76"/>
      <x:c r="AT14" s="73"/>
      <x:c r="AU14" s="73"/>
      <x:c r="AV14" s="24" t="s">
        <x:v>25</x:v>
      </x:c>
      <x:c r="AW14" s="24"/>
    </x:row>
    <x:row r="15">
      <x:c r="A15" s="14" t="s">
        <x:v>43</x:v>
      </x:c>
      <x:c r="B15" s="15" t="s">
        <x:v>44</x:v>
      </x:c>
      <x:c r="C15" s="42"/>
      <x:c r="D15" s="17"/>
      <x:c r="E15" s="17"/>
      <x:c r="F15" s="17"/>
      <x:c r="G15" s="17"/>
      <x:c r="H15" s="17"/>
      <x:c r="I15" s="17"/>
      <x:c r="J15" s="17"/>
      <x:c r="K15" s="17"/>
      <x:c r="L15" s="14"/>
      <x:c r="M15" s="14"/>
      <x:c r="N15" s="14"/>
      <x:c r="O15" s="14"/>
      <x:c r="P15" s="17"/>
      <x:c r="Q15" s="68"/>
      <x:c r="R15" s="14"/>
      <x:c r="S15" s="14"/>
      <x:c r="T15" s="39"/>
      <x:c r="U15" s="39"/>
      <x:c r="V15" s="44"/>
      <x:c r="W15" s="44"/>
      <x:c r="X15" s="17"/>
      <x:c r="Y15" s="44"/>
      <x:c r="Z15" s="75"/>
      <x:c r="AA15" s="75"/>
      <x:c r="AB15" s="24"/>
      <x:c r="AC15" s="24"/>
      <x:c r="AD15" s="24"/>
      <x:c r="AE15" s="24"/>
      <x:c r="AF15" s="24"/>
      <x:c r="AG15" s="24"/>
      <x:c r="AH15" s="24"/>
      <x:c r="AI15" s="24"/>
      <x:c r="AJ15" s="24"/>
      <x:c r="AK15" s="24"/>
      <x:c r="AL15" s="17">
        <x:v>2.0</x:v>
      </x:c>
      <x:c r="AM15" s="17">
        <x:v>2.0</x:v>
      </x:c>
      <x:c r="AN15" s="17">
        <x:v>2.0</x:v>
      </x:c>
      <x:c r="AO15" s="76"/>
      <x:c r="AP15" s="76"/>
      <x:c r="AQ15" s="72"/>
      <x:c r="AR15" s="76"/>
      <x:c r="AS15" s="76"/>
      <x:c r="AT15" s="73"/>
      <x:c r="AU15" s="73"/>
      <x:c r="AV15" s="24" t="s">
        <x:v>25</x:v>
      </x:c>
      <x:c r="AW15" s="24"/>
    </x:row>
    <x:row r="16">
      <x:c r="A16" s="14" t="s">
        <x:v>103</x:v>
      </x:c>
      <x:c r="B16" s="15" t="s">
        <x:v>47</x:v>
      </x:c>
      <x:c r="C16" s="42"/>
      <x:c r="D16" s="37"/>
      <x:c r="E16" s="37"/>
      <x:c r="F16" s="37"/>
      <x:c r="G16" s="37"/>
      <x:c r="H16" s="37"/>
      <x:c r="I16" s="37"/>
      <x:c r="J16" s="37"/>
      <x:c r="K16" s="37"/>
      <x:c r="L16" s="27"/>
      <x:c r="M16" s="27"/>
      <x:c r="N16" s="14"/>
      <x:c r="O16" s="14"/>
      <x:c r="P16" s="37"/>
      <x:c r="Q16" s="68"/>
      <x:c r="R16" s="14"/>
      <x:c r="S16" s="14"/>
      <x:c r="T16" s="39"/>
      <x:c r="U16" s="39"/>
      <x:c r="V16" s="44"/>
      <x:c r="W16" s="44"/>
      <x:c r="X16" s="37"/>
      <x:c r="Y16" s="40"/>
      <x:c r="Z16" s="75"/>
      <x:c r="AA16" s="75"/>
      <x:c r="AB16" s="24"/>
      <x:c r="AC16" s="24"/>
      <x:c r="AD16" s="24"/>
      <x:c r="AE16" s="24"/>
      <x:c r="AF16" s="24"/>
      <x:c r="AG16" s="24"/>
      <x:c r="AH16" s="24"/>
      <x:c r="AI16" s="24"/>
      <x:c r="AJ16" s="24"/>
      <x:c r="AK16" s="24"/>
      <x:c r="AL16" s="17">
        <x:v>2.0</x:v>
      </x:c>
      <x:c r="AM16" s="17">
        <x:v>2.0</x:v>
      </x:c>
      <x:c r="AN16" s="17">
        <x:v>3.0</x:v>
      </x:c>
      <x:c r="AO16" s="76"/>
      <x:c r="AP16" s="76"/>
      <x:c r="AQ16" s="72"/>
      <x:c r="AR16" s="76"/>
      <x:c r="AS16" s="76"/>
      <x:c r="AT16" s="73"/>
      <x:c r="AU16" s="73"/>
      <x:c r="AV16" s="24" t="s">
        <x:v>25</x:v>
      </x:c>
      <x:c r="AW16" s="24"/>
    </x:row>
    <x:row r="17">
      <x:c r="A17" s="14" t="s">
        <x:v>49</x:v>
      </x:c>
      <x:c r="B17" s="15" t="s">
        <x:v>50</x:v>
      </x:c>
      <x:c r="C17" s="42"/>
      <x:c r="D17" s="37"/>
      <x:c r="E17" s="37"/>
      <x:c r="F17" s="37"/>
      <x:c r="G17" s="37"/>
      <x:c r="H17" s="37"/>
      <x:c r="I17" s="37"/>
      <x:c r="J17" s="37"/>
      <x:c r="K17" s="37"/>
      <x:c r="L17" s="27"/>
      <x:c r="M17" s="27"/>
      <x:c r="N17" s="14"/>
      <x:c r="O17" s="27"/>
      <x:c r="P17" s="37"/>
      <x:c r="Q17" s="68"/>
      <x:c r="R17" s="14"/>
      <x:c r="S17" s="14"/>
      <x:c r="T17" s="39"/>
      <x:c r="U17" s="39"/>
      <x:c r="V17" s="44"/>
      <x:c r="W17" s="44"/>
      <x:c r="X17" s="37"/>
      <x:c r="Y17" s="40"/>
      <x:c r="Z17" s="75"/>
      <x:c r="AA17" s="70"/>
      <x:c r="AB17" s="24"/>
      <x:c r="AC17" s="24"/>
      <x:c r="AD17" s="24"/>
      <x:c r="AE17" s="24"/>
      <x:c r="AF17" s="24"/>
      <x:c r="AG17" s="24"/>
      <x:c r="AH17" s="24"/>
      <x:c r="AI17" s="24"/>
      <x:c r="AJ17" s="24"/>
      <x:c r="AK17" s="24"/>
      <x:c r="AL17" s="71">
        <x:v>46143.0</x:v>
      </x:c>
      <x:c r="AM17" s="17">
        <x:v>2.0</x:v>
      </x:c>
      <x:c r="AN17" s="17">
        <x:v>2.0</x:v>
      </x:c>
      <x:c r="AO17" s="76"/>
      <x:c r="AP17" s="76"/>
      <x:c r="AQ17" s="72"/>
      <x:c r="AR17" s="76"/>
      <x:c r="AS17" s="76"/>
      <x:c r="AT17" s="73"/>
      <x:c r="AU17" s="73"/>
      <x:c r="AV17" s="24" t="s">
        <x:v>25</x:v>
      </x:c>
      <x:c r="AW17" s="24"/>
    </x:row>
    <x:row r="18">
      <x:c r="A18" s="14" t="s">
        <x:v>52</x:v>
      </x:c>
      <x:c r="B18" s="15" t="s">
        <x:v>53</x:v>
      </x:c>
      <x:c r="C18" s="14"/>
      <x:c r="D18" s="17"/>
      <x:c r="E18" s="17"/>
      <x:c r="F18" s="17"/>
      <x:c r="G18" s="17"/>
      <x:c r="H18" s="17"/>
      <x:c r="I18" s="17"/>
      <x:c r="J18" s="17"/>
      <x:c r="K18" s="17"/>
      <x:c r="L18" s="14"/>
      <x:c r="M18" s="14"/>
      <x:c r="N18" s="14"/>
      <x:c r="O18" s="14"/>
      <x:c r="P18" s="17"/>
      <x:c r="Q18" s="68"/>
      <x:c r="R18" s="14"/>
      <x:c r="S18" s="14"/>
      <x:c r="T18" s="19"/>
      <x:c r="U18" s="19"/>
      <x:c r="V18" s="27"/>
      <x:c r="W18" s="28"/>
      <x:c r="X18" s="17"/>
      <x:c r="Y18" s="27"/>
      <x:c r="Z18" s="69"/>
      <x:c r="AA18" s="70"/>
      <x:c r="AB18" s="24"/>
      <x:c r="AC18" s="24"/>
      <x:c r="AD18" s="24"/>
      <x:c r="AE18" s="24"/>
      <x:c r="AF18" s="24"/>
      <x:c r="AG18" s="24"/>
      <x:c r="AH18" s="24"/>
      <x:c r="AI18" s="24"/>
      <x:c r="AJ18" s="24"/>
      <x:c r="AK18" s="24"/>
      <x:c r="AL18" s="17">
        <x:v>3.0</x:v>
      </x:c>
      <x:c r="AM18" s="17">
        <x:v>3.0</x:v>
      </x:c>
      <x:c r="AN18" s="17">
        <x:v>3.0</x:v>
      </x:c>
      <x:c r="AO18" s="72"/>
      <x:c r="AP18" s="72"/>
      <x:c r="AQ18" s="72"/>
      <x:c r="AR18" s="72"/>
      <x:c r="AS18" s="72"/>
      <x:c r="AT18" s="73"/>
      <x:c r="AU18" s="73"/>
      <x:c r="AV18" s="24" t="s">
        <x:v>25</x:v>
      </x:c>
      <x:c r="AW18" s="24"/>
    </x:row>
    <x:row r="19">
      <x:c r="A19" s="14" t="s">
        <x:v>55</x:v>
      </x:c>
      <x:c r="B19" s="15" t="s">
        <x:v>56</x:v>
      </x:c>
      <x:c r="C19" s="14"/>
      <x:c r="D19" s="17"/>
      <x:c r="E19" s="17"/>
      <x:c r="F19" s="17"/>
      <x:c r="G19" s="17"/>
      <x:c r="H19" s="17"/>
      <x:c r="I19" s="17"/>
      <x:c r="J19" s="17"/>
      <x:c r="K19" s="17"/>
      <x:c r="L19" s="14"/>
      <x:c r="M19" s="14"/>
      <x:c r="N19" s="14"/>
      <x:c r="O19" s="14"/>
      <x:c r="P19" s="17"/>
      <x:c r="Q19" s="68"/>
      <x:c r="R19" s="14"/>
      <x:c r="S19" s="14"/>
      <x:c r="T19" s="19"/>
      <x:c r="U19" s="19"/>
      <x:c r="V19" s="27"/>
      <x:c r="W19" s="28"/>
      <x:c r="X19" s="17"/>
      <x:c r="Y19" s="27"/>
      <x:c r="Z19" s="69"/>
      <x:c r="AA19" s="70"/>
      <x:c r="AB19" s="24"/>
      <x:c r="AC19" s="24"/>
      <x:c r="AD19" s="24"/>
      <x:c r="AE19" s="24"/>
      <x:c r="AF19" s="24"/>
      <x:c r="AG19" s="24"/>
      <x:c r="AH19" s="24"/>
      <x:c r="AI19" s="24"/>
      <x:c r="AJ19" s="24"/>
      <x:c r="AK19" s="24"/>
      <x:c r="AL19" s="71">
        <x:v>46146.0</x:v>
      </x:c>
      <x:c r="AM19" s="17">
        <x:v>3.0</x:v>
      </x:c>
      <x:c r="AN19" s="17">
        <x:v>5.0</x:v>
      </x:c>
      <x:c r="AO19" s="72"/>
      <x:c r="AP19" s="72"/>
      <x:c r="AQ19" s="72"/>
      <x:c r="AR19" s="72"/>
      <x:c r="AS19" s="72"/>
      <x:c r="AT19" s="73"/>
      <x:c r="AU19" s="73"/>
      <x:c r="AV19" s="24" t="s">
        <x:v>57</x:v>
      </x:c>
      <x:c r="AW19" s="24"/>
    </x:row>
    <x:row r="20">
      <x:c r="A20" s="14" t="s">
        <x:v>59</x:v>
      </x:c>
      <x:c r="B20" s="15" t="s">
        <x:v>60</x:v>
      </x:c>
      <x:c r="C20" s="14"/>
      <x:c r="D20" s="17"/>
      <x:c r="E20" s="17"/>
      <x:c r="F20" s="17"/>
      <x:c r="G20" s="17"/>
      <x:c r="H20" s="17"/>
      <x:c r="I20" s="17"/>
      <x:c r="J20" s="17"/>
      <x:c r="K20" s="17"/>
      <x:c r="L20" s="14"/>
      <x:c r="M20" s="14"/>
      <x:c r="N20" s="14"/>
      <x:c r="O20" s="14"/>
      <x:c r="P20" s="17"/>
      <x:c r="Q20" s="68"/>
      <x:c r="R20" s="14"/>
      <x:c r="S20" s="14"/>
      <x:c r="T20" s="19"/>
      <x:c r="U20" s="19"/>
      <x:c r="V20" s="27"/>
      <x:c r="W20" s="28"/>
      <x:c r="X20" s="17"/>
      <x:c r="Y20" s="27"/>
      <x:c r="Z20" s="69"/>
      <x:c r="AA20" s="70"/>
      <x:c r="AB20" s="24"/>
      <x:c r="AC20" s="24"/>
      <x:c r="AD20" s="24"/>
      <x:c r="AE20" s="24"/>
      <x:c r="AF20" s="24"/>
      <x:c r="AG20" s="24"/>
      <x:c r="AH20" s="24"/>
      <x:c r="AI20" s="24"/>
      <x:c r="AJ20" s="24"/>
      <x:c r="AK20" s="24"/>
      <x:c r="AL20" s="17">
        <x:v>3.0</x:v>
      </x:c>
      <x:c r="AM20" s="17">
        <x:v>2.0</x:v>
      </x:c>
      <x:c r="AN20" s="17">
        <x:v>3.0</x:v>
      </x:c>
      <x:c r="AO20" s="72"/>
      <x:c r="AP20" s="72"/>
      <x:c r="AQ20" s="72"/>
      <x:c r="AR20" s="72"/>
      <x:c r="AS20" s="72"/>
      <x:c r="AT20" s="73"/>
      <x:c r="AU20" s="73"/>
      <x:c r="AV20" s="24" t="s">
        <x:v>87</x:v>
      </x:c>
      <x:c r="AW20" s="24"/>
    </x:row>
    <x:row r="21">
      <x:c r="A21" s="14" t="s">
        <x:v>62</x:v>
      </x:c>
      <x:c r="B21" s="15" t="s">
        <x:v>63</x:v>
      </x:c>
      <x:c r="C21" s="14"/>
      <x:c r="D21" s="17"/>
      <x:c r="E21" s="17"/>
      <x:c r="F21" s="17"/>
      <x:c r="G21" s="17"/>
      <x:c r="H21" s="17"/>
      <x:c r="I21" s="17"/>
      <x:c r="J21" s="17"/>
      <x:c r="K21" s="17"/>
      <x:c r="L21" s="14"/>
      <x:c r="M21" s="14"/>
      <x:c r="N21" s="14"/>
      <x:c r="O21" s="14"/>
      <x:c r="P21" s="17"/>
      <x:c r="Q21" s="68"/>
      <x:c r="R21" s="14"/>
      <x:c r="S21" s="14"/>
      <x:c r="T21" s="19"/>
      <x:c r="U21" s="19"/>
      <x:c r="V21" s="27"/>
      <x:c r="W21" s="27"/>
      <x:c r="X21" s="17"/>
      <x:c r="Y21" s="27"/>
      <x:c r="Z21" s="69"/>
      <x:c r="AA21" s="70"/>
      <x:c r="AB21" s="24"/>
      <x:c r="AC21" s="24"/>
      <x:c r="AD21" s="24"/>
      <x:c r="AE21" s="24"/>
      <x:c r="AF21" s="24"/>
      <x:c r="AG21" s="24"/>
      <x:c r="AH21" s="24"/>
      <x:c r="AI21" s="24"/>
      <x:c r="AJ21" s="24"/>
      <x:c r="AK21" s="24"/>
      <x:c r="AL21" s="17">
        <x:v>2.0</x:v>
      </x:c>
      <x:c r="AM21" s="17">
        <x:v>2.0</x:v>
      </x:c>
      <x:c r="AN21" s="17">
        <x:v>3.0</x:v>
      </x:c>
      <x:c r="AO21" s="72"/>
      <x:c r="AP21" s="72"/>
      <x:c r="AQ21" s="72"/>
      <x:c r="AR21" s="72"/>
      <x:c r="AS21" s="72"/>
      <x:c r="AT21" s="73"/>
      <x:c r="AU21" s="73"/>
      <x:c r="AV21" s="24" t="s">
        <x:v>25</x:v>
      </x:c>
      <x:c r="AW21" s="24"/>
    </x:row>
    <x:row r="22">
      <x:c r="A22" s="14" t="s">
        <x:v>65</x:v>
      </x:c>
      <x:c r="B22" s="15" t="s">
        <x:v>66</x:v>
      </x:c>
      <x:c r="C22" s="14"/>
      <x:c r="D22" s="17"/>
      <x:c r="E22" s="17"/>
      <x:c r="F22" s="17"/>
      <x:c r="G22" s="17"/>
      <x:c r="H22" s="17"/>
      <x:c r="I22" s="17"/>
      <x:c r="J22" s="17"/>
      <x:c r="K22" s="17"/>
      <x:c r="L22" s="14"/>
      <x:c r="M22" s="14"/>
      <x:c r="N22" s="14"/>
      <x:c r="O22" s="14"/>
      <x:c r="P22" s="17"/>
      <x:c r="Q22" s="68"/>
      <x:c r="R22" s="14"/>
      <x:c r="S22" s="14"/>
      <x:c r="T22" s="19"/>
      <x:c r="U22" s="19"/>
      <x:c r="V22" s="27"/>
      <x:c r="W22" s="27"/>
      <x:c r="X22" s="17"/>
      <x:c r="Y22" s="27"/>
      <x:c r="Z22" s="69"/>
      <x:c r="AA22" s="70"/>
      <x:c r="AB22" s="24"/>
      <x:c r="AC22" s="24"/>
      <x:c r="AD22" s="24"/>
      <x:c r="AE22" s="24"/>
      <x:c r="AF22" s="24"/>
      <x:c r="AG22" s="24"/>
      <x:c r="AH22" s="24"/>
      <x:c r="AI22" s="24"/>
      <x:c r="AJ22" s="24"/>
      <x:c r="AK22" s="24"/>
      <x:c r="AL22" s="17">
        <x:v>4.0</x:v>
      </x:c>
      <x:c r="AM22" s="17">
        <x:v>3.0</x:v>
      </x:c>
      <x:c r="AN22" s="17">
        <x:v>3.0</x:v>
      </x:c>
      <x:c r="AO22" s="72"/>
      <x:c r="AP22" s="72"/>
      <x:c r="AQ22" s="72"/>
      <x:c r="AR22" s="72"/>
      <x:c r="AS22" s="72"/>
      <x:c r="AT22" s="73"/>
      <x:c r="AU22" s="73"/>
      <x:c r="AV22" s="24" t="s">
        <x:v>57</x:v>
      </x:c>
      <x:c r="AW22" s="24"/>
    </x:row>
    <x:row r="23">
      <x:c r="A23" s="14" t="s">
        <x:v>68</x:v>
      </x:c>
      <x:c r="B23" s="15" t="s">
        <x:v>69</x:v>
      </x:c>
      <x:c r="C23" s="14"/>
      <x:c r="D23" s="17"/>
      <x:c r="E23" s="17"/>
      <x:c r="F23" s="17"/>
      <x:c r="G23" s="17"/>
      <x:c r="H23" s="17"/>
      <x:c r="I23" s="17"/>
      <x:c r="J23" s="17"/>
      <x:c r="K23" s="17"/>
      <x:c r="L23" s="14"/>
      <x:c r="M23" s="14"/>
      <x:c r="N23" s="14"/>
      <x:c r="O23" s="14"/>
      <x:c r="P23" s="17"/>
      <x:c r="Q23" s="68"/>
      <x:c r="R23" s="14"/>
      <x:c r="S23" s="14"/>
      <x:c r="T23" s="19"/>
      <x:c r="U23" s="19"/>
      <x:c r="V23" s="27"/>
      <x:c r="W23" s="27"/>
      <x:c r="X23" s="17"/>
      <x:c r="Y23" s="27"/>
      <x:c r="Z23" s="69"/>
      <x:c r="AA23" s="70"/>
      <x:c r="AB23" s="24"/>
      <x:c r="AC23" s="24"/>
      <x:c r="AD23" s="24"/>
      <x:c r="AE23" s="24"/>
      <x:c r="AF23" s="24"/>
      <x:c r="AG23" s="24"/>
      <x:c r="AH23" s="24"/>
      <x:c r="AI23" s="24"/>
      <x:c r="AJ23" s="24"/>
      <x:c r="AK23" s="24"/>
      <x:c r="AL23" s="17">
        <x:v>4.0</x:v>
      </x:c>
      <x:c r="AM23" s="17">
        <x:v>3.0</x:v>
      </x:c>
      <x:c r="AN23" s="17">
        <x:v>4.0</x:v>
      </x:c>
      <x:c r="AO23" s="72"/>
      <x:c r="AP23" s="72"/>
      <x:c r="AQ23" s="72"/>
      <x:c r="AR23" s="72"/>
      <x:c r="AS23" s="72"/>
      <x:c r="AT23" s="73"/>
      <x:c r="AU23" s="73"/>
      <x:c r="AV23" s="24" t="s">
        <x:v>25</x:v>
      </x:c>
      <x:c r="AW23" s="24"/>
    </x:row>
    <x:row r="24">
      <x:c r="A24" s="31" t="s">
        <x:v>71</x:v>
      </x:c>
      <x:c r="B24" s="24" t="s">
        <x:v>72</x:v>
      </x:c>
      <x:c r="C24" s="31"/>
      <x:c r="D24" s="17"/>
      <x:c r="E24" s="17"/>
      <x:c r="F24" s="17"/>
      <x:c r="G24" s="17"/>
      <x:c r="H24" s="17"/>
      <x:c r="I24" s="17"/>
      <x:c r="J24" s="17"/>
      <x:c r="K24" s="17"/>
      <x:c r="L24" s="31"/>
      <x:c r="M24" s="31"/>
      <x:c r="N24" s="31"/>
      <x:c r="O24" s="31"/>
      <x:c r="P24" s="17"/>
      <x:c r="Q24" s="77"/>
      <x:c r="R24" s="31"/>
      <x:c r="S24" s="31"/>
      <x:c r="T24" s="19"/>
      <x:c r="U24" s="19"/>
      <x:c r="V24" s="28"/>
      <x:c r="W24" s="28"/>
      <x:c r="X24" s="17"/>
      <x:c r="Y24" s="27"/>
      <x:c r="Z24" s="70"/>
      <x:c r="AA24" s="70"/>
      <x:c r="AB24" s="24"/>
      <x:c r="AC24" s="24"/>
      <x:c r="AD24" s="24"/>
      <x:c r="AE24" s="24"/>
      <x:c r="AF24" s="24"/>
      <x:c r="AG24" s="24"/>
      <x:c r="AH24" s="24"/>
      <x:c r="AI24" s="24"/>
      <x:c r="AJ24" s="24"/>
      <x:c r="AK24" s="24"/>
      <x:c r="AL24" s="17">
        <x:v>3.0</x:v>
      </x:c>
      <x:c r="AM24" s="17">
        <x:v>3.0</x:v>
      </x:c>
      <x:c r="AN24" s="17">
        <x:v>2.0</x:v>
      </x:c>
      <x:c r="AO24" s="72"/>
      <x:c r="AP24" s="72"/>
      <x:c r="AQ24" s="72"/>
      <x:c r="AR24" s="72"/>
      <x:c r="AS24" s="72"/>
      <x:c r="AT24" s="73"/>
      <x:c r="AU24" s="73"/>
      <x:c r="AV24" s="24" t="s">
        <x:v>57</x:v>
      </x:c>
      <x:c r="AW24" s="24"/>
    </x:row>
  </x:sheetData>
  <x:mergeCells>
    <x:mergeCell ref="AO6:AQ6"/>
    <x:mergeCell ref="AR6:AT6"/>
    <x:mergeCell ref="AU6:AU7"/>
    <x:mergeCell ref="AV6:AV7"/>
    <x:mergeCell ref="T6:AA6"/>
    <x:mergeCell ref="AL6:AN6"/>
    <x:mergeCell ref="L6:S6"/>
    <x:mergeCell ref="AJ6:AK6"/>
    <x:mergeCell ref="AB6:AI6"/>
    <x:mergeCell ref="A1:AW1"/>
    <x:mergeCell ref="A2:AW2"/>
    <x:mergeCell ref="A6:A7"/>
    <x:mergeCell ref="B6:B7"/>
    <x:mergeCell ref="C6:C7"/>
    <x:mergeCell ref="D6:K6"/>
    <x:mergeCell ref="AW6:AW7"/>
  </x:mergeCells>
  <x:hyperlinks>
    <x:hyperlink xmlns:r="http://schemas.openxmlformats.org/officeDocument/2006/relationships" ref="A2" r:id="Rf7404a65d02e40a1"/>
  </x:hyperlinks>
  <x:pageMargins left="0.7" right="0.7" top="0.75" bottom="0.75" header="0.3" footer="0.3"/>
</x:worksheet>
</file>